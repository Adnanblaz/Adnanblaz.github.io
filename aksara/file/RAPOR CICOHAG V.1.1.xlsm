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3.xml" ContentType="application/vnd.openxmlformats-officedocument.drawing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drawings/drawing8.xml" ContentType="application/vnd.openxmlformats-officedocument.drawing+xml"/>
  <Override PartName="/xl/activeX/activeX28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29.xml" ContentType="application/vnd.ms-office.activeX+xml"/>
  <Override PartName="/xl/drawings/drawing10.xml" ContentType="application/vnd.openxmlformats-officedocument.drawing+xml"/>
  <Override PartName="/xl/activeX/activeX30.xml" ContentType="application/vnd.ms-office.activeX+xml"/>
  <Override PartName="/xl/drawings/drawing11.xml" ContentType="application/vnd.openxmlformats-officedocument.drawing+xml"/>
  <Override PartName="/xl/activeX/activeX31.xml" ContentType="application/vnd.ms-office.activeX+xml"/>
  <Override PartName="/xl/drawings/drawing12.xml" ContentType="application/vnd.openxmlformats-officedocument.drawing+xml"/>
  <Override PartName="/xl/activeX/activeX32.xml" ContentType="application/vnd.ms-office.activeX+xml"/>
  <Override PartName="/xl/drawings/drawing13.xml" ContentType="application/vnd.openxmlformats-officedocument.drawing+xml"/>
  <Override PartName="/xl/activeX/activeX33.xml" ContentType="application/vnd.ms-office.activeX+xml"/>
  <Override PartName="/xl/drawings/drawing14.xml" ContentType="application/vnd.openxmlformats-officedocument.drawing+xml"/>
  <Override PartName="/xl/activeX/activeX34.xml" ContentType="application/vnd.ms-office.activeX+xml"/>
  <Override PartName="/xl/drawings/drawing15.xml" ContentType="application/vnd.openxmlformats-officedocument.drawing+xml"/>
  <Override PartName="/xl/activeX/activeX35.xml" ContentType="application/vnd.ms-office.activeX+xml"/>
  <Override PartName="/xl/drawings/drawing16.xml" ContentType="application/vnd.openxmlformats-officedocument.drawing+xml"/>
  <Override PartName="/xl/activeX/activeX36.xml" ContentType="application/vnd.ms-office.activeX+xml"/>
  <Override PartName="/xl/drawings/drawing17.xml" ContentType="application/vnd.openxmlformats-officedocument.drawing+xml"/>
  <Override PartName="/xl/activeX/activeX37.xml" ContentType="application/vnd.ms-office.activeX+xml"/>
  <Override PartName="/xl/drawings/drawing18.xml" ContentType="application/vnd.openxmlformats-officedocument.drawing+xml"/>
  <Override PartName="/xl/activeX/activeX38.xml" ContentType="application/vnd.ms-office.activeX+xml"/>
  <Override PartName="/xl/drawings/drawing19.xml" ContentType="application/vnd.openxmlformats-officedocument.drawing+xml"/>
  <Override PartName="/xl/activeX/activeX39.xml" ContentType="application/vnd.ms-office.activeX+xml"/>
  <Override PartName="/xl/drawings/drawing20.xml" ContentType="application/vnd.openxmlformats-officedocument.drawing+xml"/>
  <Override PartName="/xl/activeX/activeX40.xml" ContentType="application/vnd.ms-office.activeX+xml"/>
  <Override PartName="/xl/drawings/drawing21.xml" ContentType="application/vnd.openxmlformats-officedocument.drawing+xml"/>
  <Override PartName="/xl/activeX/activeX41.xml" ContentType="application/vnd.ms-office.activeX+xml"/>
  <Override PartName="/xl/drawings/drawing22.xml" ContentType="application/vnd.openxmlformats-officedocument.drawing+xml"/>
  <Override PartName="/xl/activeX/activeX42.xml" ContentType="application/vnd.ms-office.activeX+xml"/>
  <Override PartName="/xl/drawings/drawing23.xml" ContentType="application/vnd.openxmlformats-officedocument.drawing+xml"/>
  <Override PartName="/xl/activeX/activeX43.xml" ContentType="application/vnd.ms-office.activeX+xml"/>
  <Override PartName="/xl/drawings/drawing24.xml" ContentType="application/vnd.openxmlformats-officedocument.drawing+xml"/>
  <Override PartName="/xl/activeX/activeX44.xml" ContentType="application/vnd.ms-office.activeX+xml"/>
  <Override PartName="/xl/drawings/drawing25.xml" ContentType="application/vnd.openxmlformats-officedocument.drawing+xml"/>
  <Override PartName="/xl/activeX/activeX45.xml" ContentType="application/vnd.ms-office.activeX+xml"/>
  <Override PartName="/xl/drawings/drawing26.xml" ContentType="application/vnd.openxmlformats-officedocument.drawing+xml"/>
  <Override PartName="/xl/activeX/activeX46.xml" ContentType="application/vnd.ms-office.activeX+xml"/>
  <Override PartName="/xl/drawings/drawing27.xml" ContentType="application/vnd.openxmlformats-officedocument.drawing+xml"/>
  <Override PartName="/xl/activeX/activeX47.xml" ContentType="application/vnd.ms-office.activeX+xml"/>
  <Override PartName="/xl/drawings/drawing28.xml" ContentType="application/vnd.openxmlformats-officedocument.drawing+xml"/>
  <Override PartName="/xl/activeX/activeX48.xml" ContentType="application/vnd.ms-office.activeX+xml"/>
  <Override PartName="/xl/drawings/drawing29.xml" ContentType="application/vnd.openxmlformats-officedocument.drawing+xml"/>
  <Override PartName="/xl/activeX/activeX49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Adnan\SDN Cicohag\Aplikasi Rapor SDN Cicohag\"/>
    </mc:Choice>
  </mc:AlternateContent>
  <xr:revisionPtr revIDLastSave="0" documentId="13_ncr:1_{9E50440B-6D27-492D-8C7C-F3817E1A64A5}" xr6:coauthVersionLast="47" xr6:coauthVersionMax="47" xr10:uidLastSave="{00000000-0000-0000-0000-000000000000}"/>
  <bookViews>
    <workbookView xWindow="-120" yWindow="-120" windowWidth="29040" windowHeight="15720" tabRatio="593" xr2:uid="{F87DBC76-F6CC-4641-88A3-16250015ED0C}"/>
  </bookViews>
  <sheets>
    <sheet name="MENU" sheetId="1" r:id="rId1"/>
    <sheet name="Profil Sekolah" sheetId="3" r:id="rId2"/>
    <sheet name="Identitas Siswa" sheetId="4" r:id="rId3"/>
    <sheet name="Piagam" sheetId="28" r:id="rId4"/>
    <sheet name="Rapor" sheetId="31" r:id="rId5"/>
    <sheet name="Sampul" sheetId="29" r:id="rId6"/>
    <sheet name="REKAP" sheetId="27" r:id="rId7"/>
    <sheet name="MAPEL &amp; BOBOT" sheetId="5" r:id="rId8"/>
    <sheet name="TP" sheetId="6" r:id="rId9"/>
    <sheet name="AGAMA" sheetId="32" r:id="rId10"/>
    <sheet name="PANCASILA" sheetId="8" r:id="rId11"/>
    <sheet name="INDONESIA" sheetId="35" r:id="rId12"/>
    <sheet name="MATEMATIKA" sheetId="36" r:id="rId13"/>
    <sheet name="IPAS" sheetId="37" r:id="rId14"/>
    <sheet name="MUSIK" sheetId="38" r:id="rId15"/>
    <sheet name="TARI" sheetId="39" r:id="rId16"/>
    <sheet name="RUPA" sheetId="40" r:id="rId17"/>
    <sheet name="TEATER" sheetId="41" r:id="rId18"/>
    <sheet name="PJOK" sheetId="42" r:id="rId19"/>
    <sheet name="INGGRIS" sheetId="43" r:id="rId20"/>
    <sheet name="MULOK1" sheetId="44" r:id="rId21"/>
    <sheet name="MULOK2" sheetId="45" r:id="rId22"/>
    <sheet name="MULOK3" sheetId="46" r:id="rId23"/>
    <sheet name="MULOK4" sheetId="47" r:id="rId24"/>
    <sheet name="MULOK5" sheetId="48" r:id="rId25"/>
    <sheet name="Ekstrakurikuler" sheetId="23" r:id="rId26"/>
    <sheet name="Catatan Guru" sheetId="24" r:id="rId27"/>
    <sheet name="Absensi" sheetId="25" r:id="rId28"/>
    <sheet name="NaikTidak" sheetId="26" r:id="rId29"/>
  </sheets>
  <definedNames>
    <definedName name="_xlpm.baris_siswa" hidden="1" xlm="1">#NAME?</definedName>
    <definedName name="_xlpm.header_tp_mapel" hidden="1" xlm="1">#NAME?</definedName>
    <definedName name="_xlpm.kode_tp" hidden="1" xlm="1">#NAME?</definedName>
    <definedName name="_xlpm.nilai_siswa" hidden="1" xlm="1">#NAME?</definedName>
    <definedName name="_xlpm.nilai_tertinggi" hidden="1" xlm="1">#NAME?</definedName>
    <definedName name="_xlpm.nis" hidden="1" xlm="1">#NAME?</definedName>
    <definedName name="_xlpm.nisn" hidden="1" xlm="1">#NAME?</definedName>
    <definedName name="_xlpm.siswa_absen" hidden="1" xlm="1">#NAME?</definedName>
    <definedName name="_xlpm.tabel_nilai_mapel" hidden="1" xlm="1">#NAME?</definedName>
    <definedName name="_xlpm.tabel_ref_tp" hidden="1" xlm="1">#NAME?</definedName>
    <definedName name="_xlnm.Print_Area" localSheetId="3">Piagam!$C$2:$AN$35</definedName>
    <definedName name="_xlnm.Print_Area" localSheetId="4">Rapor!$B$3:$AJ$82</definedName>
    <definedName name="_xlnm.Print_Area" localSheetId="6">REKAP!$A$2:$V$83</definedName>
    <definedName name="_xlnm.Print_Area" localSheetId="5">Sampul!$B$4:$AJ$126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2" i="31" l="1"/>
  <c r="P91" i="29"/>
  <c r="P90" i="29"/>
  <c r="C22" i="28"/>
  <c r="AG26" i="28"/>
  <c r="X67" i="31"/>
  <c r="AG33" i="28"/>
  <c r="X73" i="31"/>
  <c r="AG32" i="28"/>
  <c r="X72" i="31"/>
  <c r="G33" i="28"/>
  <c r="G32" i="28"/>
  <c r="C81" i="31"/>
  <c r="C19" i="28"/>
  <c r="C8" i="28"/>
  <c r="C7" i="28"/>
  <c r="C6" i="28"/>
  <c r="C5" i="28"/>
  <c r="C4" i="28"/>
  <c r="C3" i="28"/>
  <c r="W126" i="29"/>
  <c r="C82" i="31"/>
  <c r="W125" i="29"/>
  <c r="W119" i="29"/>
  <c r="P109" i="29"/>
  <c r="P108" i="29"/>
  <c r="P107" i="29"/>
  <c r="P105" i="29"/>
  <c r="P104" i="29"/>
  <c r="P103" i="29"/>
  <c r="P102" i="29"/>
  <c r="P101" i="29"/>
  <c r="P99" i="29"/>
  <c r="P98" i="29"/>
  <c r="P96" i="29"/>
  <c r="P95" i="29"/>
  <c r="P93" i="29"/>
  <c r="P92" i="29"/>
  <c r="P89" i="29"/>
  <c r="P87" i="29"/>
  <c r="P88" i="29"/>
  <c r="I27" i="29"/>
  <c r="I25" i="29"/>
  <c r="P70" i="29"/>
  <c r="P69" i="29"/>
  <c r="P68" i="29"/>
  <c r="P67" i="29"/>
  <c r="P66" i="29"/>
  <c r="P65" i="29"/>
  <c r="AA64" i="29"/>
  <c r="P64" i="29"/>
  <c r="P63" i="29"/>
  <c r="K8" i="31"/>
  <c r="P60" i="29"/>
  <c r="P59" i="29"/>
  <c r="P58" i="29"/>
  <c r="K7" i="31"/>
  <c r="K6" i="31"/>
  <c r="L1" i="29"/>
  <c r="L1" i="31" l="1"/>
  <c r="M83" i="27"/>
  <c r="M82" i="27"/>
  <c r="M76" i="27"/>
  <c r="B83" i="27"/>
  <c r="B82" i="27"/>
  <c r="R7" i="27" l="1"/>
  <c r="Q7" i="27"/>
  <c r="P7" i="27"/>
  <c r="O7" i="27"/>
  <c r="N7" i="27"/>
  <c r="M6" i="27"/>
  <c r="K7" i="27"/>
  <c r="J7" i="27"/>
  <c r="N4" i="27"/>
  <c r="N3" i="27"/>
  <c r="C3" i="27"/>
  <c r="C4" i="27"/>
  <c r="L6" i="27"/>
  <c r="I7" i="27"/>
  <c r="H7" i="27"/>
  <c r="G6" i="27"/>
  <c r="F6" i="27"/>
  <c r="E6" i="27"/>
  <c r="D6" i="27"/>
  <c r="C6" i="27"/>
  <c r="D22" i="31" l="1"/>
  <c r="T64" i="31"/>
  <c r="AB64" i="31"/>
  <c r="D24" i="31"/>
  <c r="D31" i="31"/>
  <c r="D29" i="31"/>
  <c r="D46" i="31"/>
  <c r="D40" i="31" l="1"/>
  <c r="D44" i="31"/>
  <c r="D42" i="31"/>
  <c r="D38" i="31"/>
  <c r="D35" i="31"/>
  <c r="D33" i="31"/>
  <c r="D19" i="31"/>
  <c r="D17" i="31"/>
  <c r="D15" i="31"/>
  <c r="D13" i="31"/>
  <c r="D11" i="31"/>
  <c r="K5" i="31"/>
  <c r="AF8" i="31"/>
  <c r="AF7" i="31"/>
  <c r="AF6" i="31"/>
  <c r="AF5" i="31"/>
  <c r="G13" i="1" l="1"/>
  <c r="G11" i="1"/>
  <c r="G12" i="1"/>
  <c r="B10" i="1" l="1"/>
  <c r="W8" i="48" a="1"/>
  <c r="W8" i="48" s="1"/>
  <c r="C8" i="48" a="1"/>
  <c r="C8" i="48" s="1"/>
  <c r="W8" i="47" a="1"/>
  <c r="W8" i="47" s="1"/>
  <c r="C8" i="47" a="1"/>
  <c r="C8" i="47" s="1"/>
  <c r="W8" i="46" a="1"/>
  <c r="W8" i="46" s="1"/>
  <c r="C8" i="46" a="1"/>
  <c r="C8" i="46" s="1"/>
  <c r="C8" i="45" a="1"/>
  <c r="C8" i="45" s="1"/>
  <c r="W8" i="45" a="1"/>
  <c r="W8" i="45" s="1"/>
  <c r="W8" i="44" a="1"/>
  <c r="W8" i="44" s="1"/>
  <c r="C8" i="44" a="1"/>
  <c r="C8" i="44" s="1"/>
  <c r="C8" i="43" a="1"/>
  <c r="C8" i="43" s="1"/>
  <c r="W8" i="43" a="1"/>
  <c r="W8" i="43" s="1"/>
  <c r="W8" i="42" a="1"/>
  <c r="W8" i="42" s="1"/>
  <c r="C8" i="42" a="1"/>
  <c r="C8" i="42" s="1"/>
  <c r="C8" i="41" a="1"/>
  <c r="C8" i="41" s="1"/>
  <c r="W8" i="41" a="1"/>
  <c r="W8" i="41" s="1"/>
  <c r="W8" i="40" a="1"/>
  <c r="W8" i="40" s="1"/>
  <c r="C8" i="40" a="1"/>
  <c r="C8" i="40" s="1"/>
  <c r="W8" i="39" a="1"/>
  <c r="W8" i="39" s="1"/>
  <c r="C8" i="39" a="1"/>
  <c r="C8" i="39" s="1"/>
  <c r="W8" i="38" a="1"/>
  <c r="W8" i="38" s="1"/>
  <c r="C8" i="38" a="1"/>
  <c r="C8" i="38" s="1"/>
  <c r="W8" i="37" a="1"/>
  <c r="W8" i="37" s="1"/>
  <c r="C8" i="37" a="1"/>
  <c r="C8" i="37" s="1"/>
  <c r="W8" i="35" a="1"/>
  <c r="W8" i="35" s="1"/>
  <c r="C8" i="35" a="1"/>
  <c r="C8" i="35" s="1"/>
  <c r="W8" i="32" a="1"/>
  <c r="W8" i="32" s="1"/>
  <c r="C8" i="32" a="1"/>
  <c r="C8" i="32" s="1"/>
  <c r="C8" i="8" a="1"/>
  <c r="C8" i="8" s="1"/>
  <c r="W8" i="8" a="1"/>
  <c r="W8" i="8" s="1"/>
  <c r="W8" i="36" a="1"/>
  <c r="W8" i="36" s="1"/>
  <c r="C8" i="36" a="1"/>
  <c r="C8" i="36" s="1"/>
  <c r="BN3" i="6"/>
  <c r="BJ3" i="6"/>
  <c r="BF3" i="6"/>
  <c r="AX3" i="6"/>
  <c r="BB3" i="6"/>
  <c r="A10" i="27"/>
  <c r="B10" i="27"/>
  <c r="A11" i="27"/>
  <c r="B11" i="27"/>
  <c r="A12" i="27"/>
  <c r="B12" i="27"/>
  <c r="A13" i="27"/>
  <c r="B13" i="27"/>
  <c r="A14" i="27"/>
  <c r="B14" i="27"/>
  <c r="A15" i="27"/>
  <c r="B15" i="27"/>
  <c r="A16" i="27"/>
  <c r="B16" i="27"/>
  <c r="A17" i="27"/>
  <c r="B17" i="27"/>
  <c r="A18" i="27"/>
  <c r="B18" i="27"/>
  <c r="A19" i="27"/>
  <c r="B19" i="27"/>
  <c r="A20" i="27"/>
  <c r="B20" i="27"/>
  <c r="A21" i="27"/>
  <c r="B21" i="27"/>
  <c r="A22" i="27"/>
  <c r="B22" i="27"/>
  <c r="A23" i="27"/>
  <c r="B23" i="27"/>
  <c r="A24" i="27"/>
  <c r="B24" i="27"/>
  <c r="A25" i="27"/>
  <c r="B25" i="27"/>
  <c r="A26" i="27"/>
  <c r="B26" i="27"/>
  <c r="A27" i="27"/>
  <c r="B27" i="27"/>
  <c r="A28" i="27"/>
  <c r="B28" i="27"/>
  <c r="A29" i="27"/>
  <c r="B29" i="27"/>
  <c r="A30" i="27"/>
  <c r="B30" i="27"/>
  <c r="A31" i="27"/>
  <c r="B31" i="27"/>
  <c r="A32" i="27"/>
  <c r="B32" i="27"/>
  <c r="A33" i="27"/>
  <c r="B33" i="27"/>
  <c r="A34" i="27"/>
  <c r="B34" i="27"/>
  <c r="A35" i="27"/>
  <c r="B35" i="27"/>
  <c r="A36" i="27"/>
  <c r="B36" i="27"/>
  <c r="A37" i="27"/>
  <c r="B37" i="27"/>
  <c r="A38" i="27"/>
  <c r="B38" i="27"/>
  <c r="A39" i="27"/>
  <c r="B39" i="27"/>
  <c r="A40" i="27"/>
  <c r="B40" i="27"/>
  <c r="A41" i="27"/>
  <c r="B41" i="27"/>
  <c r="A42" i="27"/>
  <c r="B42" i="27"/>
  <c r="A43" i="27"/>
  <c r="B43" i="27"/>
  <c r="A44" i="27"/>
  <c r="B44" i="27"/>
  <c r="A45" i="27"/>
  <c r="B45" i="27"/>
  <c r="A46" i="27"/>
  <c r="B46" i="27"/>
  <c r="A47" i="27"/>
  <c r="B47" i="27"/>
  <c r="A48" i="27"/>
  <c r="B48" i="27"/>
  <c r="A49" i="27"/>
  <c r="B49" i="27"/>
  <c r="A50" i="27"/>
  <c r="B50" i="27"/>
  <c r="A51" i="27"/>
  <c r="B51" i="27"/>
  <c r="A52" i="27"/>
  <c r="B52" i="27"/>
  <c r="A53" i="27"/>
  <c r="B53" i="27"/>
  <c r="A54" i="27"/>
  <c r="B54" i="27"/>
  <c r="A55" i="27"/>
  <c r="B55" i="27"/>
  <c r="A56" i="27"/>
  <c r="B56" i="27"/>
  <c r="A57" i="27"/>
  <c r="B57" i="27"/>
  <c r="A58" i="27"/>
  <c r="B58" i="27"/>
  <c r="A59" i="27"/>
  <c r="B59" i="27"/>
  <c r="A60" i="27"/>
  <c r="B60" i="27"/>
  <c r="A61" i="27"/>
  <c r="B61" i="27"/>
  <c r="A62" i="27"/>
  <c r="B62" i="27"/>
  <c r="A63" i="27"/>
  <c r="B63" i="27"/>
  <c r="A64" i="27"/>
  <c r="B64" i="27"/>
  <c r="A65" i="27"/>
  <c r="B65" i="27"/>
  <c r="A66" i="27"/>
  <c r="B66" i="27"/>
  <c r="A67" i="27"/>
  <c r="B67" i="27"/>
  <c r="A68" i="27"/>
  <c r="B68" i="27"/>
  <c r="A10" i="26"/>
  <c r="B10" i="26"/>
  <c r="A11" i="26"/>
  <c r="B11" i="26"/>
  <c r="A12" i="26"/>
  <c r="B12" i="26"/>
  <c r="A13" i="26"/>
  <c r="B13" i="26"/>
  <c r="A14" i="26"/>
  <c r="B14" i="26"/>
  <c r="A15" i="26"/>
  <c r="B15" i="26"/>
  <c r="A16" i="26"/>
  <c r="B16" i="26"/>
  <c r="A17" i="26"/>
  <c r="B17" i="26"/>
  <c r="A18" i="26"/>
  <c r="B18" i="26"/>
  <c r="A19" i="26"/>
  <c r="B19" i="26"/>
  <c r="A20" i="26"/>
  <c r="B20" i="26"/>
  <c r="A21" i="26"/>
  <c r="B21" i="26"/>
  <c r="A22" i="26"/>
  <c r="B22" i="26"/>
  <c r="A23" i="26"/>
  <c r="B23" i="26"/>
  <c r="A24" i="26"/>
  <c r="B24" i="26"/>
  <c r="A25" i="26"/>
  <c r="B25" i="26"/>
  <c r="A26" i="26"/>
  <c r="B26" i="26"/>
  <c r="A27" i="26"/>
  <c r="B27" i="26"/>
  <c r="A28" i="26"/>
  <c r="B28" i="26"/>
  <c r="A29" i="26"/>
  <c r="B29" i="26"/>
  <c r="A30" i="26"/>
  <c r="B30" i="26"/>
  <c r="A31" i="26"/>
  <c r="B31" i="26"/>
  <c r="A32" i="26"/>
  <c r="B32" i="26"/>
  <c r="A33" i="26"/>
  <c r="B33" i="26"/>
  <c r="A34" i="26"/>
  <c r="B34" i="26"/>
  <c r="A35" i="26"/>
  <c r="B35" i="26"/>
  <c r="A36" i="26"/>
  <c r="B36" i="26"/>
  <c r="A37" i="26"/>
  <c r="B37" i="26"/>
  <c r="A38" i="26"/>
  <c r="B38" i="26"/>
  <c r="A39" i="26"/>
  <c r="B39" i="26"/>
  <c r="A40" i="26"/>
  <c r="B40" i="26"/>
  <c r="A41" i="26"/>
  <c r="B41" i="26"/>
  <c r="A42" i="26"/>
  <c r="B42" i="26"/>
  <c r="A43" i="26"/>
  <c r="B43" i="26"/>
  <c r="A44" i="26"/>
  <c r="B44" i="26"/>
  <c r="A45" i="26"/>
  <c r="B45" i="26"/>
  <c r="A46" i="26"/>
  <c r="B46" i="26"/>
  <c r="A47" i="26"/>
  <c r="B47" i="26"/>
  <c r="A48" i="26"/>
  <c r="B48" i="26"/>
  <c r="A49" i="26"/>
  <c r="B49" i="26"/>
  <c r="A50" i="26"/>
  <c r="B50" i="26"/>
  <c r="A51" i="26"/>
  <c r="B51" i="26"/>
  <c r="A52" i="26"/>
  <c r="B52" i="26"/>
  <c r="A53" i="26"/>
  <c r="B53" i="26"/>
  <c r="A54" i="26"/>
  <c r="B54" i="26"/>
  <c r="A55" i="26"/>
  <c r="B55" i="26"/>
  <c r="A56" i="26"/>
  <c r="B56" i="26"/>
  <c r="A57" i="26"/>
  <c r="B57" i="26"/>
  <c r="A58" i="26"/>
  <c r="B58" i="26"/>
  <c r="A59" i="26"/>
  <c r="B59" i="26"/>
  <c r="A60" i="26"/>
  <c r="B60" i="26"/>
  <c r="A61" i="26"/>
  <c r="B61" i="26"/>
  <c r="A62" i="26"/>
  <c r="B62" i="26"/>
  <c r="A63" i="26"/>
  <c r="B63" i="26"/>
  <c r="A64" i="26"/>
  <c r="B64" i="26"/>
  <c r="A65" i="26"/>
  <c r="B65" i="26"/>
  <c r="A66" i="26"/>
  <c r="B66" i="26"/>
  <c r="A67" i="26"/>
  <c r="B67" i="26"/>
  <c r="A68" i="26"/>
  <c r="B68" i="26"/>
  <c r="A10" i="25"/>
  <c r="B10" i="25"/>
  <c r="A11" i="25"/>
  <c r="B11" i="25"/>
  <c r="A12" i="25"/>
  <c r="B12" i="25"/>
  <c r="A13" i="25"/>
  <c r="B13" i="25"/>
  <c r="A14" i="25"/>
  <c r="B14" i="25"/>
  <c r="A15" i="25"/>
  <c r="B15" i="25"/>
  <c r="A16" i="25"/>
  <c r="B16" i="25"/>
  <c r="A17" i="25"/>
  <c r="B17" i="25"/>
  <c r="A18" i="25"/>
  <c r="B18" i="25"/>
  <c r="A19" i="25"/>
  <c r="B19" i="25"/>
  <c r="A20" i="25"/>
  <c r="B20" i="25"/>
  <c r="A21" i="25"/>
  <c r="B21" i="25"/>
  <c r="A22" i="25"/>
  <c r="B22" i="25"/>
  <c r="A23" i="25"/>
  <c r="B23" i="25"/>
  <c r="A24" i="25"/>
  <c r="B24" i="25"/>
  <c r="A25" i="25"/>
  <c r="B25" i="25"/>
  <c r="A26" i="25"/>
  <c r="B26" i="25"/>
  <c r="A27" i="25"/>
  <c r="B27" i="25"/>
  <c r="A28" i="25"/>
  <c r="B28" i="25"/>
  <c r="A29" i="25"/>
  <c r="B29" i="25"/>
  <c r="A30" i="25"/>
  <c r="B30" i="25"/>
  <c r="A31" i="25"/>
  <c r="B31" i="25"/>
  <c r="A32" i="25"/>
  <c r="B32" i="25"/>
  <c r="A33" i="25"/>
  <c r="B33" i="25"/>
  <c r="A34" i="25"/>
  <c r="B34" i="25"/>
  <c r="A35" i="25"/>
  <c r="B35" i="25"/>
  <c r="A36" i="25"/>
  <c r="B36" i="25"/>
  <c r="A37" i="25"/>
  <c r="B37" i="25"/>
  <c r="A38" i="25"/>
  <c r="B38" i="25"/>
  <c r="A39" i="25"/>
  <c r="B39" i="25"/>
  <c r="A40" i="25"/>
  <c r="B40" i="25"/>
  <c r="A41" i="25"/>
  <c r="B41" i="25"/>
  <c r="A42" i="25"/>
  <c r="B42" i="25"/>
  <c r="A43" i="25"/>
  <c r="B43" i="25"/>
  <c r="A44" i="25"/>
  <c r="B44" i="25"/>
  <c r="A45" i="25"/>
  <c r="B45" i="25"/>
  <c r="A46" i="25"/>
  <c r="B46" i="25"/>
  <c r="A47" i="25"/>
  <c r="B47" i="25"/>
  <c r="A48" i="25"/>
  <c r="B48" i="25"/>
  <c r="A49" i="25"/>
  <c r="B49" i="25"/>
  <c r="A50" i="25"/>
  <c r="B50" i="25"/>
  <c r="A51" i="25"/>
  <c r="B51" i="25"/>
  <c r="A52" i="25"/>
  <c r="B52" i="25"/>
  <c r="A53" i="25"/>
  <c r="B53" i="25"/>
  <c r="A54" i="25"/>
  <c r="B54" i="25"/>
  <c r="A55" i="25"/>
  <c r="B55" i="25"/>
  <c r="A56" i="25"/>
  <c r="B56" i="25"/>
  <c r="A57" i="25"/>
  <c r="B57" i="25"/>
  <c r="A58" i="25"/>
  <c r="B58" i="25"/>
  <c r="A59" i="25"/>
  <c r="B59" i="25"/>
  <c r="A60" i="25"/>
  <c r="B60" i="25"/>
  <c r="A61" i="25"/>
  <c r="B61" i="25"/>
  <c r="A62" i="25"/>
  <c r="B62" i="25"/>
  <c r="A63" i="25"/>
  <c r="B63" i="25"/>
  <c r="A64" i="25"/>
  <c r="B64" i="25"/>
  <c r="A65" i="25"/>
  <c r="B65" i="25"/>
  <c r="A66" i="25"/>
  <c r="B66" i="25"/>
  <c r="A67" i="25"/>
  <c r="B67" i="25"/>
  <c r="A68" i="25"/>
  <c r="B68" i="25"/>
  <c r="A10" i="23"/>
  <c r="B10" i="23"/>
  <c r="A11" i="23"/>
  <c r="B11" i="23"/>
  <c r="A12" i="23"/>
  <c r="B12" i="23"/>
  <c r="A13" i="23"/>
  <c r="B13" i="23"/>
  <c r="A14" i="23"/>
  <c r="B14" i="23"/>
  <c r="A15" i="23"/>
  <c r="B15" i="23"/>
  <c r="A16" i="23"/>
  <c r="B16" i="23"/>
  <c r="A17" i="23"/>
  <c r="B17" i="23"/>
  <c r="A18" i="23"/>
  <c r="B18" i="23"/>
  <c r="A19" i="23"/>
  <c r="B19" i="23"/>
  <c r="A20" i="23"/>
  <c r="B20" i="23"/>
  <c r="A21" i="23"/>
  <c r="B21" i="23"/>
  <c r="A22" i="23"/>
  <c r="B22" i="23"/>
  <c r="A23" i="23"/>
  <c r="B23" i="23"/>
  <c r="A24" i="23"/>
  <c r="B24" i="23"/>
  <c r="A25" i="23"/>
  <c r="B25" i="23"/>
  <c r="A26" i="23"/>
  <c r="B26" i="23"/>
  <c r="A27" i="23"/>
  <c r="B27" i="23"/>
  <c r="A28" i="23"/>
  <c r="B28" i="23"/>
  <c r="A29" i="23"/>
  <c r="B29" i="23"/>
  <c r="A30" i="23"/>
  <c r="B30" i="23"/>
  <c r="A31" i="23"/>
  <c r="B31" i="23"/>
  <c r="A32" i="23"/>
  <c r="B32" i="23"/>
  <c r="A33" i="23"/>
  <c r="B33" i="23"/>
  <c r="A34" i="23"/>
  <c r="B34" i="23"/>
  <c r="A35" i="23"/>
  <c r="B35" i="23"/>
  <c r="A36" i="23"/>
  <c r="B36" i="23"/>
  <c r="A37" i="23"/>
  <c r="B37" i="23"/>
  <c r="A38" i="23"/>
  <c r="B38" i="23"/>
  <c r="A39" i="23"/>
  <c r="B39" i="23"/>
  <c r="A40" i="23"/>
  <c r="B40" i="23"/>
  <c r="A41" i="23"/>
  <c r="B41" i="23"/>
  <c r="A42" i="23"/>
  <c r="B42" i="23"/>
  <c r="A43" i="23"/>
  <c r="B43" i="23"/>
  <c r="A44" i="23"/>
  <c r="B44" i="23"/>
  <c r="A45" i="23"/>
  <c r="B45" i="23"/>
  <c r="A46" i="23"/>
  <c r="B46" i="23"/>
  <c r="A47" i="23"/>
  <c r="B47" i="23"/>
  <c r="A48" i="23"/>
  <c r="B48" i="23"/>
  <c r="A49" i="23"/>
  <c r="B49" i="23"/>
  <c r="A50" i="23"/>
  <c r="B50" i="23"/>
  <c r="A51" i="23"/>
  <c r="B51" i="23"/>
  <c r="A52" i="23"/>
  <c r="B52" i="23"/>
  <c r="A53" i="23"/>
  <c r="B53" i="23"/>
  <c r="A54" i="23"/>
  <c r="B54" i="23"/>
  <c r="A55" i="23"/>
  <c r="B55" i="23"/>
  <c r="A56" i="23"/>
  <c r="B56" i="23"/>
  <c r="A57" i="23"/>
  <c r="B57" i="23"/>
  <c r="A58" i="23"/>
  <c r="B58" i="23"/>
  <c r="A59" i="23"/>
  <c r="B59" i="23"/>
  <c r="A60" i="23"/>
  <c r="B60" i="23"/>
  <c r="A61" i="23"/>
  <c r="B61" i="23"/>
  <c r="A62" i="23"/>
  <c r="B62" i="23"/>
  <c r="A63" i="23"/>
  <c r="B63" i="23"/>
  <c r="A64" i="23"/>
  <c r="B64" i="23"/>
  <c r="A65" i="23"/>
  <c r="B65" i="23"/>
  <c r="A66" i="23"/>
  <c r="B66" i="23"/>
  <c r="A67" i="23"/>
  <c r="B67" i="23"/>
  <c r="A68" i="23"/>
  <c r="B68" i="23"/>
  <c r="A18" i="24"/>
  <c r="B18" i="24"/>
  <c r="A19" i="24"/>
  <c r="B19" i="24"/>
  <c r="A20" i="24"/>
  <c r="B20" i="24"/>
  <c r="A21" i="24"/>
  <c r="B21" i="24"/>
  <c r="A22" i="24"/>
  <c r="B22" i="24"/>
  <c r="A23" i="24"/>
  <c r="B23" i="24"/>
  <c r="A24" i="24"/>
  <c r="B24" i="24"/>
  <c r="A25" i="24"/>
  <c r="B25" i="24"/>
  <c r="A26" i="24"/>
  <c r="B26" i="24"/>
  <c r="A27" i="24"/>
  <c r="B27" i="24"/>
  <c r="A28" i="24"/>
  <c r="B28" i="24"/>
  <c r="A29" i="24"/>
  <c r="B29" i="24"/>
  <c r="A30" i="24"/>
  <c r="B30" i="24"/>
  <c r="A31" i="24"/>
  <c r="B31" i="24"/>
  <c r="A32" i="24"/>
  <c r="B32" i="24"/>
  <c r="A33" i="24"/>
  <c r="B33" i="24"/>
  <c r="A34" i="24"/>
  <c r="B34" i="24"/>
  <c r="A35" i="24"/>
  <c r="B35" i="24"/>
  <c r="A36" i="24"/>
  <c r="B36" i="24"/>
  <c r="A37" i="24"/>
  <c r="B37" i="24"/>
  <c r="A38" i="24"/>
  <c r="B38" i="24"/>
  <c r="A39" i="24"/>
  <c r="B39" i="24"/>
  <c r="A40" i="24"/>
  <c r="B40" i="24"/>
  <c r="A41" i="24"/>
  <c r="B41" i="24"/>
  <c r="A42" i="24"/>
  <c r="B42" i="24"/>
  <c r="A43" i="24"/>
  <c r="B43" i="24"/>
  <c r="A44" i="24"/>
  <c r="B44" i="24"/>
  <c r="A45" i="24"/>
  <c r="B45" i="24"/>
  <c r="A46" i="24"/>
  <c r="B46" i="24"/>
  <c r="A47" i="24"/>
  <c r="B47" i="24"/>
  <c r="A48" i="24"/>
  <c r="B48" i="24"/>
  <c r="A49" i="24"/>
  <c r="B49" i="24"/>
  <c r="A50" i="24"/>
  <c r="B50" i="24"/>
  <c r="A51" i="24"/>
  <c r="B51" i="24"/>
  <c r="A52" i="24"/>
  <c r="B52" i="24"/>
  <c r="A53" i="24"/>
  <c r="B53" i="24"/>
  <c r="A54" i="24"/>
  <c r="B54" i="24"/>
  <c r="A55" i="24"/>
  <c r="B55" i="24"/>
  <c r="A56" i="24"/>
  <c r="B56" i="24"/>
  <c r="A57" i="24"/>
  <c r="B57" i="24"/>
  <c r="A58" i="24"/>
  <c r="B58" i="24"/>
  <c r="A59" i="24"/>
  <c r="B59" i="24"/>
  <c r="A60" i="24"/>
  <c r="B60" i="24"/>
  <c r="A61" i="24"/>
  <c r="B61" i="24"/>
  <c r="A62" i="24"/>
  <c r="B62" i="24"/>
  <c r="A63" i="24"/>
  <c r="B63" i="24"/>
  <c r="A64" i="24"/>
  <c r="B64" i="24"/>
  <c r="A65" i="24"/>
  <c r="B65" i="24"/>
  <c r="A66" i="24"/>
  <c r="B66" i="24"/>
  <c r="A67" i="24"/>
  <c r="B67" i="24"/>
  <c r="A68" i="24"/>
  <c r="B68" i="24"/>
  <c r="A10" i="24"/>
  <c r="B10" i="24"/>
  <c r="A11" i="24"/>
  <c r="B11" i="24"/>
  <c r="A12" i="24"/>
  <c r="B12" i="24"/>
  <c r="A13" i="24"/>
  <c r="B13" i="24"/>
  <c r="A14" i="24"/>
  <c r="B14" i="24"/>
  <c r="A15" i="24"/>
  <c r="B15" i="24"/>
  <c r="A16" i="24"/>
  <c r="B16" i="24"/>
  <c r="A17" i="24"/>
  <c r="B17" i="24"/>
  <c r="A9" i="27"/>
  <c r="A9" i="26"/>
  <c r="B9" i="27"/>
  <c r="B9" i="26"/>
  <c r="B9" i="25"/>
  <c r="A9" i="25"/>
  <c r="A9" i="24"/>
  <c r="C59" i="31" s="1"/>
  <c r="B9" i="24"/>
  <c r="B9" i="23"/>
  <c r="A9" i="23"/>
  <c r="B9" i="32"/>
  <c r="N64" i="31" l="1"/>
  <c r="N63" i="31"/>
  <c r="N62" i="31"/>
  <c r="D53" i="31"/>
  <c r="D52" i="31"/>
  <c r="O53" i="31"/>
  <c r="D55" i="31"/>
  <c r="D54" i="31"/>
  <c r="O52" i="31"/>
  <c r="D56" i="31"/>
  <c r="O54" i="31"/>
  <c r="O56" i="31"/>
  <c r="O55" i="31"/>
  <c r="AQ68" i="48"/>
  <c r="AR68" i="48" s="1"/>
  <c r="AT68" i="48" s="1"/>
  <c r="AO68" i="48"/>
  <c r="AP68" i="48" s="1"/>
  <c r="AS68" i="48" s="1"/>
  <c r="AM68" i="48"/>
  <c r="AL68" i="48"/>
  <c r="AK68" i="48"/>
  <c r="B68" i="48"/>
  <c r="A68" i="48"/>
  <c r="AQ67" i="48"/>
  <c r="AR67" i="48" s="1"/>
  <c r="AT67" i="48" s="1"/>
  <c r="AO67" i="48"/>
  <c r="AP67" i="48" s="1"/>
  <c r="AS67" i="48" s="1"/>
  <c r="AM67" i="48"/>
  <c r="AL67" i="48"/>
  <c r="AK67" i="48"/>
  <c r="B67" i="48"/>
  <c r="A67" i="48"/>
  <c r="AQ66" i="48"/>
  <c r="AR66" i="48" s="1"/>
  <c r="AT66" i="48" s="1"/>
  <c r="AO66" i="48"/>
  <c r="AP66" i="48" s="1"/>
  <c r="AS66" i="48" s="1"/>
  <c r="AM66" i="48"/>
  <c r="AY66" i="48" s="1"/>
  <c r="AL66" i="48"/>
  <c r="AX66" i="48" s="1"/>
  <c r="AK66" i="48"/>
  <c r="B66" i="48"/>
  <c r="A66" i="48"/>
  <c r="AQ65" i="48"/>
  <c r="AR65" i="48" s="1"/>
  <c r="AT65" i="48" s="1"/>
  <c r="AO65" i="48"/>
  <c r="AP65" i="48" s="1"/>
  <c r="AS65" i="48" s="1"/>
  <c r="AM65" i="48"/>
  <c r="AL65" i="48"/>
  <c r="AK65" i="48"/>
  <c r="B65" i="48"/>
  <c r="A65" i="48"/>
  <c r="AQ64" i="48"/>
  <c r="AR64" i="48" s="1"/>
  <c r="AT64" i="48" s="1"/>
  <c r="AO64" i="48"/>
  <c r="AP64" i="48" s="1"/>
  <c r="AS64" i="48" s="1"/>
  <c r="AM64" i="48"/>
  <c r="AL64" i="48"/>
  <c r="AK64" i="48"/>
  <c r="B64" i="48"/>
  <c r="A64" i="48"/>
  <c r="AQ63" i="48"/>
  <c r="AR63" i="48" s="1"/>
  <c r="AT63" i="48" s="1"/>
  <c r="AO63" i="48"/>
  <c r="AP63" i="48" s="1"/>
  <c r="AS63" i="48" s="1"/>
  <c r="AM63" i="48"/>
  <c r="AY63" i="48" s="1"/>
  <c r="AL63" i="48"/>
  <c r="AX63" i="48" s="1"/>
  <c r="AK63" i="48"/>
  <c r="B63" i="48"/>
  <c r="A63" i="48"/>
  <c r="AQ62" i="48"/>
  <c r="AR62" i="48" s="1"/>
  <c r="AT62" i="48" s="1"/>
  <c r="AO62" i="48"/>
  <c r="AP62" i="48" s="1"/>
  <c r="AS62" i="48" s="1"/>
  <c r="AM62" i="48"/>
  <c r="AL62" i="48"/>
  <c r="AK62" i="48"/>
  <c r="B62" i="48"/>
  <c r="A62" i="48"/>
  <c r="AQ61" i="48"/>
  <c r="AR61" i="48" s="1"/>
  <c r="AT61" i="48" s="1"/>
  <c r="AO61" i="48"/>
  <c r="AP61" i="48" s="1"/>
  <c r="AS61" i="48" s="1"/>
  <c r="AM61" i="48"/>
  <c r="AL61" i="48"/>
  <c r="AK61" i="48"/>
  <c r="B61" i="48"/>
  <c r="A61" i="48"/>
  <c r="AQ60" i="48"/>
  <c r="AR60" i="48" s="1"/>
  <c r="AT60" i="48" s="1"/>
  <c r="AO60" i="48"/>
  <c r="AP60" i="48" s="1"/>
  <c r="AS60" i="48" s="1"/>
  <c r="AM60" i="48"/>
  <c r="AY60" i="48" s="1"/>
  <c r="AL60" i="48"/>
  <c r="AX60" i="48" s="1"/>
  <c r="AK60" i="48"/>
  <c r="B60" i="48"/>
  <c r="A60" i="48"/>
  <c r="AQ59" i="48"/>
  <c r="AR59" i="48" s="1"/>
  <c r="AT59" i="48" s="1"/>
  <c r="AO59" i="48"/>
  <c r="AP59" i="48" s="1"/>
  <c r="AS59" i="48" s="1"/>
  <c r="AM59" i="48"/>
  <c r="AL59" i="48"/>
  <c r="AK59" i="48"/>
  <c r="B59" i="48"/>
  <c r="A59" i="48"/>
  <c r="AQ58" i="48"/>
  <c r="AR58" i="48" s="1"/>
  <c r="AT58" i="48" s="1"/>
  <c r="AO58" i="48"/>
  <c r="AP58" i="48" s="1"/>
  <c r="AS58" i="48" s="1"/>
  <c r="AM58" i="48"/>
  <c r="AL58" i="48"/>
  <c r="AK58" i="48"/>
  <c r="B58" i="48"/>
  <c r="A58" i="48"/>
  <c r="AQ57" i="48"/>
  <c r="AR57" i="48" s="1"/>
  <c r="AT57" i="48" s="1"/>
  <c r="AO57" i="48"/>
  <c r="AP57" i="48" s="1"/>
  <c r="AS57" i="48" s="1"/>
  <c r="AM57" i="48"/>
  <c r="AY57" i="48" s="1"/>
  <c r="AL57" i="48"/>
  <c r="AX57" i="48" s="1"/>
  <c r="AK57" i="48"/>
  <c r="B57" i="48"/>
  <c r="A57" i="48"/>
  <c r="AQ56" i="48"/>
  <c r="AR56" i="48" s="1"/>
  <c r="AT56" i="48" s="1"/>
  <c r="AO56" i="48"/>
  <c r="AP56" i="48" s="1"/>
  <c r="AS56" i="48" s="1"/>
  <c r="AM56" i="48"/>
  <c r="AL56" i="48"/>
  <c r="AK56" i="48"/>
  <c r="B56" i="48"/>
  <c r="A56" i="48"/>
  <c r="AQ55" i="48"/>
  <c r="AR55" i="48" s="1"/>
  <c r="AT55" i="48" s="1"/>
  <c r="AO55" i="48"/>
  <c r="AP55" i="48" s="1"/>
  <c r="AS55" i="48" s="1"/>
  <c r="AM55" i="48"/>
  <c r="AL55" i="48"/>
  <c r="AK55" i="48"/>
  <c r="B55" i="48"/>
  <c r="A55" i="48"/>
  <c r="AQ54" i="48"/>
  <c r="AR54" i="48" s="1"/>
  <c r="AT54" i="48" s="1"/>
  <c r="AO54" i="48"/>
  <c r="AP54" i="48" s="1"/>
  <c r="AS54" i="48" s="1"/>
  <c r="AM54" i="48"/>
  <c r="AY54" i="48" s="1"/>
  <c r="AL54" i="48"/>
  <c r="AX54" i="48" s="1"/>
  <c r="AK54" i="48"/>
  <c r="B54" i="48"/>
  <c r="A54" i="48"/>
  <c r="AQ53" i="48"/>
  <c r="AR53" i="48" s="1"/>
  <c r="AT53" i="48" s="1"/>
  <c r="AO53" i="48"/>
  <c r="AP53" i="48" s="1"/>
  <c r="AS53" i="48" s="1"/>
  <c r="AM53" i="48"/>
  <c r="AL53" i="48"/>
  <c r="AK53" i="48"/>
  <c r="B53" i="48"/>
  <c r="A53" i="48"/>
  <c r="AQ52" i="48"/>
  <c r="AR52" i="48" s="1"/>
  <c r="AT52" i="48" s="1"/>
  <c r="AO52" i="48"/>
  <c r="AP52" i="48" s="1"/>
  <c r="AS52" i="48" s="1"/>
  <c r="AM52" i="48"/>
  <c r="AL52" i="48"/>
  <c r="AK52" i="48"/>
  <c r="B52" i="48"/>
  <c r="A52" i="48"/>
  <c r="AQ51" i="48"/>
  <c r="AR51" i="48" s="1"/>
  <c r="AT51" i="48" s="1"/>
  <c r="AO51" i="48"/>
  <c r="AP51" i="48" s="1"/>
  <c r="AS51" i="48" s="1"/>
  <c r="AM51" i="48"/>
  <c r="AY51" i="48" s="1"/>
  <c r="AL51" i="48"/>
  <c r="AX51" i="48" s="1"/>
  <c r="AK51" i="48"/>
  <c r="B51" i="48"/>
  <c r="A51" i="48"/>
  <c r="AQ50" i="48"/>
  <c r="AR50" i="48" s="1"/>
  <c r="AT50" i="48" s="1"/>
  <c r="AO50" i="48"/>
  <c r="AP50" i="48" s="1"/>
  <c r="AS50" i="48" s="1"/>
  <c r="AM50" i="48"/>
  <c r="AL50" i="48"/>
  <c r="AK50" i="48"/>
  <c r="B50" i="48"/>
  <c r="A50" i="48"/>
  <c r="AQ49" i="48"/>
  <c r="AR49" i="48" s="1"/>
  <c r="AT49" i="48" s="1"/>
  <c r="AO49" i="48"/>
  <c r="AP49" i="48" s="1"/>
  <c r="AS49" i="48" s="1"/>
  <c r="AM49" i="48"/>
  <c r="AL49" i="48"/>
  <c r="AK49" i="48"/>
  <c r="B49" i="48"/>
  <c r="A49" i="48"/>
  <c r="AQ48" i="48"/>
  <c r="AR48" i="48" s="1"/>
  <c r="AT48" i="48" s="1"/>
  <c r="AO48" i="48"/>
  <c r="AP48" i="48" s="1"/>
  <c r="AS48" i="48" s="1"/>
  <c r="AM48" i="48"/>
  <c r="AY48" i="48" s="1"/>
  <c r="AL48" i="48"/>
  <c r="AX48" i="48" s="1"/>
  <c r="AK48" i="48"/>
  <c r="B48" i="48"/>
  <c r="A48" i="48"/>
  <c r="AQ47" i="48"/>
  <c r="AR47" i="48" s="1"/>
  <c r="AT47" i="48" s="1"/>
  <c r="AO47" i="48"/>
  <c r="AP47" i="48" s="1"/>
  <c r="AS47" i="48" s="1"/>
  <c r="AM47" i="48"/>
  <c r="AL47" i="48"/>
  <c r="AK47" i="48"/>
  <c r="B47" i="48"/>
  <c r="A47" i="48"/>
  <c r="AQ46" i="48"/>
  <c r="AR46" i="48" s="1"/>
  <c r="AT46" i="48" s="1"/>
  <c r="AO46" i="48"/>
  <c r="AP46" i="48" s="1"/>
  <c r="AS46" i="48" s="1"/>
  <c r="AM46" i="48"/>
  <c r="AL46" i="48"/>
  <c r="AK46" i="48"/>
  <c r="B46" i="48"/>
  <c r="A46" i="48"/>
  <c r="AQ45" i="48"/>
  <c r="AR45" i="48" s="1"/>
  <c r="AT45" i="48" s="1"/>
  <c r="AO45" i="48"/>
  <c r="AP45" i="48" s="1"/>
  <c r="AS45" i="48" s="1"/>
  <c r="AM45" i="48"/>
  <c r="AY45" i="48" s="1"/>
  <c r="AL45" i="48"/>
  <c r="AX45" i="48" s="1"/>
  <c r="AK45" i="48"/>
  <c r="B45" i="48"/>
  <c r="A45" i="48"/>
  <c r="AQ44" i="48"/>
  <c r="AR44" i="48" s="1"/>
  <c r="AT44" i="48" s="1"/>
  <c r="AO44" i="48"/>
  <c r="AP44" i="48" s="1"/>
  <c r="AS44" i="48" s="1"/>
  <c r="AM44" i="48"/>
  <c r="AL44" i="48"/>
  <c r="AK44" i="48"/>
  <c r="B44" i="48"/>
  <c r="A44" i="48"/>
  <c r="AQ43" i="48"/>
  <c r="AR43" i="48" s="1"/>
  <c r="AT43" i="48" s="1"/>
  <c r="AO43" i="48"/>
  <c r="AP43" i="48" s="1"/>
  <c r="AS43" i="48" s="1"/>
  <c r="AM43" i="48"/>
  <c r="AL43" i="48"/>
  <c r="AK43" i="48"/>
  <c r="B43" i="48"/>
  <c r="A43" i="48"/>
  <c r="AQ42" i="48"/>
  <c r="AR42" i="48" s="1"/>
  <c r="AT42" i="48" s="1"/>
  <c r="AO42" i="48"/>
  <c r="AP42" i="48" s="1"/>
  <c r="AS42" i="48" s="1"/>
  <c r="AM42" i="48"/>
  <c r="AL42" i="48"/>
  <c r="AK42" i="48"/>
  <c r="B42" i="48"/>
  <c r="A42" i="48"/>
  <c r="AQ41" i="48"/>
  <c r="AR41" i="48" s="1"/>
  <c r="AT41" i="48" s="1"/>
  <c r="AO41" i="48"/>
  <c r="AP41" i="48" s="1"/>
  <c r="AS41" i="48" s="1"/>
  <c r="AM41" i="48"/>
  <c r="AL41" i="48"/>
  <c r="AK41" i="48"/>
  <c r="B41" i="48"/>
  <c r="A41" i="48"/>
  <c r="AQ40" i="48"/>
  <c r="AR40" i="48" s="1"/>
  <c r="AT40" i="48" s="1"/>
  <c r="AO40" i="48"/>
  <c r="AP40" i="48" s="1"/>
  <c r="AS40" i="48" s="1"/>
  <c r="AM40" i="48"/>
  <c r="AL40" i="48"/>
  <c r="AK40" i="48"/>
  <c r="B40" i="48"/>
  <c r="A40" i="48"/>
  <c r="AQ39" i="48"/>
  <c r="AR39" i="48" s="1"/>
  <c r="AT39" i="48" s="1"/>
  <c r="AO39" i="48"/>
  <c r="AP39" i="48" s="1"/>
  <c r="AS39" i="48" s="1"/>
  <c r="AM39" i="48"/>
  <c r="AY39" i="48" s="1"/>
  <c r="AL39" i="48"/>
  <c r="AX39" i="48" s="1"/>
  <c r="AK39" i="48"/>
  <c r="AW39" i="48" s="1"/>
  <c r="B39" i="48"/>
  <c r="A39" i="48"/>
  <c r="AQ38" i="48"/>
  <c r="AR38" i="48" s="1"/>
  <c r="AT38" i="48" s="1"/>
  <c r="AO38" i="48"/>
  <c r="AP38" i="48" s="1"/>
  <c r="AS38" i="48" s="1"/>
  <c r="AM38" i="48"/>
  <c r="AL38" i="48"/>
  <c r="AK38" i="48"/>
  <c r="B38" i="48"/>
  <c r="A38" i="48"/>
  <c r="AQ37" i="48"/>
  <c r="AR37" i="48" s="1"/>
  <c r="AT37" i="48" s="1"/>
  <c r="AO37" i="48"/>
  <c r="AP37" i="48" s="1"/>
  <c r="AS37" i="48" s="1"/>
  <c r="AM37" i="48"/>
  <c r="AL37" i="48"/>
  <c r="AK37" i="48"/>
  <c r="B37" i="48"/>
  <c r="A37" i="48"/>
  <c r="AQ36" i="48"/>
  <c r="AR36" i="48" s="1"/>
  <c r="AT36" i="48" s="1"/>
  <c r="AO36" i="48"/>
  <c r="AP36" i="48" s="1"/>
  <c r="AS36" i="48" s="1"/>
  <c r="AM36" i="48"/>
  <c r="AY36" i="48" s="1"/>
  <c r="AL36" i="48"/>
  <c r="AX36" i="48" s="1"/>
  <c r="AK36" i="48"/>
  <c r="AW36" i="48" s="1"/>
  <c r="B36" i="48"/>
  <c r="A36" i="48"/>
  <c r="AQ35" i="48"/>
  <c r="AR35" i="48" s="1"/>
  <c r="AT35" i="48" s="1"/>
  <c r="AO35" i="48"/>
  <c r="AP35" i="48" s="1"/>
  <c r="AS35" i="48" s="1"/>
  <c r="AM35" i="48"/>
  <c r="AL35" i="48"/>
  <c r="AK35" i="48"/>
  <c r="B35" i="48"/>
  <c r="A35" i="48"/>
  <c r="AQ34" i="48"/>
  <c r="AR34" i="48" s="1"/>
  <c r="AT34" i="48" s="1"/>
  <c r="AO34" i="48"/>
  <c r="AP34" i="48" s="1"/>
  <c r="AS34" i="48" s="1"/>
  <c r="AM34" i="48"/>
  <c r="AL34" i="48"/>
  <c r="AK34" i="48"/>
  <c r="B34" i="48"/>
  <c r="A34" i="48"/>
  <c r="AQ33" i="48"/>
  <c r="AR33" i="48" s="1"/>
  <c r="AT33" i="48" s="1"/>
  <c r="AO33" i="48"/>
  <c r="AP33" i="48" s="1"/>
  <c r="AS33" i="48" s="1"/>
  <c r="AM33" i="48"/>
  <c r="AL33" i="48"/>
  <c r="AX33" i="48" s="1"/>
  <c r="AK33" i="48"/>
  <c r="AW33" i="48" s="1"/>
  <c r="B33" i="48"/>
  <c r="A33" i="48"/>
  <c r="AQ32" i="48"/>
  <c r="AR32" i="48" s="1"/>
  <c r="AT32" i="48" s="1"/>
  <c r="AO32" i="48"/>
  <c r="AP32" i="48" s="1"/>
  <c r="AS32" i="48" s="1"/>
  <c r="AM32" i="48"/>
  <c r="AL32" i="48"/>
  <c r="AK32" i="48"/>
  <c r="B32" i="48"/>
  <c r="A32" i="48"/>
  <c r="AQ31" i="48"/>
  <c r="AR31" i="48" s="1"/>
  <c r="AT31" i="48" s="1"/>
  <c r="AO31" i="48"/>
  <c r="AP31" i="48" s="1"/>
  <c r="AS31" i="48" s="1"/>
  <c r="AM31" i="48"/>
  <c r="AL31" i="48"/>
  <c r="AK31" i="48"/>
  <c r="B31" i="48"/>
  <c r="A31" i="48"/>
  <c r="AQ30" i="48"/>
  <c r="AR30" i="48" s="1"/>
  <c r="AT30" i="48" s="1"/>
  <c r="AO30" i="48"/>
  <c r="AP30" i="48" s="1"/>
  <c r="AS30" i="48" s="1"/>
  <c r="AM30" i="48"/>
  <c r="AY30" i="48" s="1"/>
  <c r="AL30" i="48"/>
  <c r="AX30" i="48" s="1"/>
  <c r="AK30" i="48"/>
  <c r="AW30" i="48" s="1"/>
  <c r="B30" i="48"/>
  <c r="A30" i="48"/>
  <c r="AQ29" i="48"/>
  <c r="AR29" i="48" s="1"/>
  <c r="AT29" i="48" s="1"/>
  <c r="AO29" i="48"/>
  <c r="AP29" i="48" s="1"/>
  <c r="AS29" i="48" s="1"/>
  <c r="AM29" i="48"/>
  <c r="AL29" i="48"/>
  <c r="AK29" i="48"/>
  <c r="B29" i="48"/>
  <c r="A29" i="48"/>
  <c r="AQ28" i="48"/>
  <c r="AR28" i="48" s="1"/>
  <c r="AT28" i="48" s="1"/>
  <c r="AO28" i="48"/>
  <c r="AP28" i="48" s="1"/>
  <c r="AS28" i="48" s="1"/>
  <c r="AM28" i="48"/>
  <c r="AL28" i="48"/>
  <c r="AK28" i="48"/>
  <c r="B28" i="48"/>
  <c r="A28" i="48"/>
  <c r="AQ27" i="48"/>
  <c r="AR27" i="48" s="1"/>
  <c r="AT27" i="48" s="1"/>
  <c r="AO27" i="48"/>
  <c r="AP27" i="48" s="1"/>
  <c r="AS27" i="48" s="1"/>
  <c r="AM27" i="48"/>
  <c r="AY27" i="48" s="1"/>
  <c r="AL27" i="48"/>
  <c r="AX27" i="48" s="1"/>
  <c r="AK27" i="48"/>
  <c r="B27" i="48"/>
  <c r="A27" i="48"/>
  <c r="AQ26" i="48"/>
  <c r="AR26" i="48" s="1"/>
  <c r="AT26" i="48" s="1"/>
  <c r="AO26" i="48"/>
  <c r="AP26" i="48" s="1"/>
  <c r="AS26" i="48" s="1"/>
  <c r="AM26" i="48"/>
  <c r="AL26" i="48"/>
  <c r="AK26" i="48"/>
  <c r="B26" i="48"/>
  <c r="A26" i="48"/>
  <c r="AQ25" i="48"/>
  <c r="AR25" i="48" s="1"/>
  <c r="AT25" i="48" s="1"/>
  <c r="AO25" i="48"/>
  <c r="AP25" i="48" s="1"/>
  <c r="AS25" i="48" s="1"/>
  <c r="AM25" i="48"/>
  <c r="AL25" i="48"/>
  <c r="AK25" i="48"/>
  <c r="B25" i="48"/>
  <c r="A25" i="48"/>
  <c r="AQ24" i="48"/>
  <c r="AR24" i="48" s="1"/>
  <c r="AT24" i="48" s="1"/>
  <c r="AO24" i="48"/>
  <c r="AP24" i="48" s="1"/>
  <c r="AS24" i="48" s="1"/>
  <c r="AM24" i="48"/>
  <c r="AY24" i="48" s="1"/>
  <c r="AL24" i="48"/>
  <c r="AX24" i="48" s="1"/>
  <c r="AK24" i="48"/>
  <c r="B24" i="48"/>
  <c r="A24" i="48"/>
  <c r="AQ23" i="48"/>
  <c r="AR23" i="48" s="1"/>
  <c r="AT23" i="48" s="1"/>
  <c r="AO23" i="48"/>
  <c r="AP23" i="48" s="1"/>
  <c r="AS23" i="48" s="1"/>
  <c r="AM23" i="48"/>
  <c r="AL23" i="48"/>
  <c r="AK23" i="48"/>
  <c r="B23" i="48"/>
  <c r="A23" i="48"/>
  <c r="AQ22" i="48"/>
  <c r="AR22" i="48" s="1"/>
  <c r="AT22" i="48" s="1"/>
  <c r="AO22" i="48"/>
  <c r="AP22" i="48" s="1"/>
  <c r="AS22" i="48" s="1"/>
  <c r="AM22" i="48"/>
  <c r="AY22" i="48" s="1"/>
  <c r="AL22" i="48"/>
  <c r="AK22" i="48"/>
  <c r="AW22" i="48" s="1"/>
  <c r="B22" i="48"/>
  <c r="A22" i="48"/>
  <c r="AQ21" i="48"/>
  <c r="AR21" i="48" s="1"/>
  <c r="AT21" i="48" s="1"/>
  <c r="AO21" i="48"/>
  <c r="AP21" i="48" s="1"/>
  <c r="AS21" i="48" s="1"/>
  <c r="AM21" i="48"/>
  <c r="AL21" i="48"/>
  <c r="AX21" i="48" s="1"/>
  <c r="AK21" i="48"/>
  <c r="B21" i="48"/>
  <c r="A21" i="48"/>
  <c r="AQ20" i="48"/>
  <c r="AR20" i="48" s="1"/>
  <c r="AT20" i="48" s="1"/>
  <c r="AO20" i="48"/>
  <c r="AP20" i="48" s="1"/>
  <c r="AS20" i="48" s="1"/>
  <c r="AM20" i="48"/>
  <c r="AL20" i="48"/>
  <c r="AK20" i="48"/>
  <c r="B20" i="48"/>
  <c r="A20" i="48"/>
  <c r="AQ19" i="48"/>
  <c r="AR19" i="48" s="1"/>
  <c r="AT19" i="48" s="1"/>
  <c r="AO19" i="48"/>
  <c r="AP19" i="48" s="1"/>
  <c r="AS19" i="48" s="1"/>
  <c r="AM19" i="48"/>
  <c r="AY19" i="48" s="1"/>
  <c r="AL19" i="48"/>
  <c r="AX19" i="48" s="1"/>
  <c r="AK19" i="48"/>
  <c r="AW19" i="48" s="1"/>
  <c r="B19" i="48"/>
  <c r="A19" i="48"/>
  <c r="AQ18" i="48"/>
  <c r="AR18" i="48" s="1"/>
  <c r="AT18" i="48" s="1"/>
  <c r="AO18" i="48"/>
  <c r="AP18" i="48" s="1"/>
  <c r="AS18" i="48" s="1"/>
  <c r="AM18" i="48"/>
  <c r="AL18" i="48"/>
  <c r="AK18" i="48"/>
  <c r="B18" i="48"/>
  <c r="A18" i="48"/>
  <c r="AQ17" i="48"/>
  <c r="AR17" i="48" s="1"/>
  <c r="AT17" i="48" s="1"/>
  <c r="AO17" i="48"/>
  <c r="AP17" i="48" s="1"/>
  <c r="AS17" i="48" s="1"/>
  <c r="AM17" i="48"/>
  <c r="AL17" i="48"/>
  <c r="AK17" i="48"/>
  <c r="B17" i="48"/>
  <c r="A17" i="48"/>
  <c r="AQ16" i="48"/>
  <c r="AR16" i="48" s="1"/>
  <c r="AT16" i="48" s="1"/>
  <c r="AO16" i="48"/>
  <c r="AP16" i="48" s="1"/>
  <c r="AS16" i="48" s="1"/>
  <c r="AM16" i="48"/>
  <c r="AL16" i="48"/>
  <c r="AK16" i="48"/>
  <c r="B16" i="48"/>
  <c r="A16" i="48"/>
  <c r="AQ15" i="48"/>
  <c r="AR15" i="48" s="1"/>
  <c r="AT15" i="48" s="1"/>
  <c r="AO15" i="48"/>
  <c r="AP15" i="48" s="1"/>
  <c r="AS15" i="48" s="1"/>
  <c r="AM15" i="48"/>
  <c r="AL15" i="48"/>
  <c r="AK15" i="48"/>
  <c r="B15" i="48"/>
  <c r="A15" i="48"/>
  <c r="AQ14" i="48"/>
  <c r="AR14" i="48" s="1"/>
  <c r="AT14" i="48" s="1"/>
  <c r="AO14" i="48"/>
  <c r="AP14" i="48" s="1"/>
  <c r="AS14" i="48" s="1"/>
  <c r="AM14" i="48"/>
  <c r="AL14" i="48"/>
  <c r="AK14" i="48"/>
  <c r="B14" i="48"/>
  <c r="A14" i="48"/>
  <c r="AQ13" i="48"/>
  <c r="AR13" i="48" s="1"/>
  <c r="AT13" i="48" s="1"/>
  <c r="AO13" i="48"/>
  <c r="AP13" i="48" s="1"/>
  <c r="AS13" i="48" s="1"/>
  <c r="AM13" i="48"/>
  <c r="AL13" i="48"/>
  <c r="AK13" i="48"/>
  <c r="B13" i="48"/>
  <c r="A13" i="48"/>
  <c r="AQ12" i="48"/>
  <c r="AR12" i="48" s="1"/>
  <c r="AT12" i="48" s="1"/>
  <c r="AO12" i="48"/>
  <c r="AP12" i="48" s="1"/>
  <c r="AS12" i="48" s="1"/>
  <c r="AM12" i="48"/>
  <c r="AY12" i="48" s="1"/>
  <c r="AL12" i="48"/>
  <c r="AX12" i="48" s="1"/>
  <c r="AK12" i="48"/>
  <c r="AW12" i="48" s="1"/>
  <c r="B12" i="48"/>
  <c r="A12" i="48"/>
  <c r="AQ11" i="48"/>
  <c r="AR11" i="48" s="1"/>
  <c r="AT11" i="48" s="1"/>
  <c r="AO11" i="48"/>
  <c r="AP11" i="48" s="1"/>
  <c r="AS11" i="48" s="1"/>
  <c r="AM11" i="48"/>
  <c r="AL11" i="48"/>
  <c r="AK11" i="48"/>
  <c r="B11" i="48"/>
  <c r="A11" i="48"/>
  <c r="AQ10" i="48"/>
  <c r="AR10" i="48" s="1"/>
  <c r="AT10" i="48" s="1"/>
  <c r="AO10" i="48"/>
  <c r="AM10" i="48"/>
  <c r="AL10" i="48"/>
  <c r="AK10" i="48"/>
  <c r="B10" i="48"/>
  <c r="A10" i="48"/>
  <c r="AQ9" i="48"/>
  <c r="AO9" i="48"/>
  <c r="AP9" i="48" s="1"/>
  <c r="AS9" i="48" s="1"/>
  <c r="AM9" i="48"/>
  <c r="AY9" i="48" s="1"/>
  <c r="AL9" i="48"/>
  <c r="AX9" i="48" s="1"/>
  <c r="AK9" i="48"/>
  <c r="AW9" i="48" s="1"/>
  <c r="B9" i="48"/>
  <c r="A9" i="48"/>
  <c r="AY8" i="48"/>
  <c r="AX8" i="48"/>
  <c r="AW8" i="48"/>
  <c r="AM7" i="48"/>
  <c r="AL7" i="48"/>
  <c r="AI7" i="48"/>
  <c r="W7" i="48"/>
  <c r="C7" i="48"/>
  <c r="AK7" i="48" s="1"/>
  <c r="BB5" i="48"/>
  <c r="BA5" i="48"/>
  <c r="AZ5" i="48"/>
  <c r="BB4" i="48"/>
  <c r="BA4" i="48"/>
  <c r="AZ4" i="48"/>
  <c r="AQ68" i="47"/>
  <c r="AR68" i="47" s="1"/>
  <c r="AT68" i="47" s="1"/>
  <c r="AO68" i="47"/>
  <c r="AP68" i="47" s="1"/>
  <c r="AS68" i="47" s="1"/>
  <c r="AM68" i="47"/>
  <c r="AY68" i="47" s="1"/>
  <c r="AL68" i="47"/>
  <c r="AK68" i="47"/>
  <c r="B68" i="47"/>
  <c r="A68" i="47"/>
  <c r="AQ67" i="47"/>
  <c r="AR67" i="47" s="1"/>
  <c r="AT67" i="47" s="1"/>
  <c r="AO67" i="47"/>
  <c r="AP67" i="47" s="1"/>
  <c r="AS67" i="47" s="1"/>
  <c r="AM67" i="47"/>
  <c r="AY67" i="47" s="1"/>
  <c r="AL67" i="47"/>
  <c r="AX67" i="47" s="1"/>
  <c r="AK67" i="47"/>
  <c r="B67" i="47"/>
  <c r="A67" i="47"/>
  <c r="AQ66" i="47"/>
  <c r="AR66" i="47" s="1"/>
  <c r="AT66" i="47" s="1"/>
  <c r="AO66" i="47"/>
  <c r="AP66" i="47" s="1"/>
  <c r="AS66" i="47" s="1"/>
  <c r="AM66" i="47"/>
  <c r="AY66" i="47" s="1"/>
  <c r="AL66" i="47"/>
  <c r="AX66" i="47" s="1"/>
  <c r="AK66" i="47"/>
  <c r="AW66" i="47" s="1"/>
  <c r="B66" i="47"/>
  <c r="A66" i="47"/>
  <c r="AQ65" i="47"/>
  <c r="AR65" i="47" s="1"/>
  <c r="AT65" i="47" s="1"/>
  <c r="AO65" i="47"/>
  <c r="AP65" i="47" s="1"/>
  <c r="AS65" i="47" s="1"/>
  <c r="AM65" i="47"/>
  <c r="AL65" i="47"/>
  <c r="AK65" i="47"/>
  <c r="B65" i="47"/>
  <c r="A65" i="47"/>
  <c r="AQ64" i="47"/>
  <c r="AR64" i="47" s="1"/>
  <c r="AT64" i="47" s="1"/>
  <c r="AO64" i="47"/>
  <c r="AP64" i="47" s="1"/>
  <c r="AS64" i="47" s="1"/>
  <c r="AM64" i="47"/>
  <c r="AL64" i="47"/>
  <c r="AK64" i="47"/>
  <c r="AW64" i="47" s="1"/>
  <c r="B64" i="47"/>
  <c r="A64" i="47"/>
  <c r="AQ63" i="47"/>
  <c r="AR63" i="47" s="1"/>
  <c r="AT63" i="47" s="1"/>
  <c r="AO63" i="47"/>
  <c r="AP63" i="47" s="1"/>
  <c r="AS63" i="47" s="1"/>
  <c r="AM63" i="47"/>
  <c r="AY63" i="47" s="1"/>
  <c r="AL63" i="47"/>
  <c r="AX63" i="47" s="1"/>
  <c r="AK63" i="47"/>
  <c r="AW63" i="47" s="1"/>
  <c r="B63" i="47"/>
  <c r="A63" i="47"/>
  <c r="AQ62" i="47"/>
  <c r="AR62" i="47" s="1"/>
  <c r="AT62" i="47" s="1"/>
  <c r="AO62" i="47"/>
  <c r="AP62" i="47" s="1"/>
  <c r="AS62" i="47" s="1"/>
  <c r="AM62" i="47"/>
  <c r="AL62" i="47"/>
  <c r="AK62" i="47"/>
  <c r="B62" i="47"/>
  <c r="A62" i="47"/>
  <c r="AQ61" i="47"/>
  <c r="AR61" i="47" s="1"/>
  <c r="AT61" i="47" s="1"/>
  <c r="AO61" i="47"/>
  <c r="AP61" i="47" s="1"/>
  <c r="AS61" i="47" s="1"/>
  <c r="AM61" i="47"/>
  <c r="AL61" i="47"/>
  <c r="AK61" i="47"/>
  <c r="AW61" i="47" s="1"/>
  <c r="B61" i="47"/>
  <c r="A61" i="47"/>
  <c r="AQ60" i="47"/>
  <c r="AR60" i="47" s="1"/>
  <c r="AT60" i="47" s="1"/>
  <c r="AO60" i="47"/>
  <c r="AP60" i="47" s="1"/>
  <c r="AS60" i="47" s="1"/>
  <c r="AM60" i="47"/>
  <c r="AY60" i="47" s="1"/>
  <c r="AL60" i="47"/>
  <c r="AX60" i="47" s="1"/>
  <c r="AK60" i="47"/>
  <c r="AW60" i="47" s="1"/>
  <c r="B60" i="47"/>
  <c r="A60" i="47"/>
  <c r="AQ59" i="47"/>
  <c r="AR59" i="47" s="1"/>
  <c r="AT59" i="47" s="1"/>
  <c r="AO59" i="47"/>
  <c r="AP59" i="47" s="1"/>
  <c r="AS59" i="47" s="1"/>
  <c r="AM59" i="47"/>
  <c r="AY59" i="47" s="1"/>
  <c r="AL59" i="47"/>
  <c r="AK59" i="47"/>
  <c r="B59" i="47"/>
  <c r="A59" i="47"/>
  <c r="AQ58" i="47"/>
  <c r="AR58" i="47" s="1"/>
  <c r="AT58" i="47" s="1"/>
  <c r="AO58" i="47"/>
  <c r="AP58" i="47" s="1"/>
  <c r="AS58" i="47" s="1"/>
  <c r="AM58" i="47"/>
  <c r="AY58" i="47" s="1"/>
  <c r="AL58" i="47"/>
  <c r="AK58" i="47"/>
  <c r="B58" i="47"/>
  <c r="A58" i="47"/>
  <c r="AQ57" i="47"/>
  <c r="AR57" i="47" s="1"/>
  <c r="AT57" i="47" s="1"/>
  <c r="AO57" i="47"/>
  <c r="AP57" i="47" s="1"/>
  <c r="AS57" i="47" s="1"/>
  <c r="AM57" i="47"/>
  <c r="AY57" i="47" s="1"/>
  <c r="AL57" i="47"/>
  <c r="AX57" i="47" s="1"/>
  <c r="AK57" i="47"/>
  <c r="AW57" i="47" s="1"/>
  <c r="B57" i="47"/>
  <c r="A57" i="47"/>
  <c r="AQ56" i="47"/>
  <c r="AR56" i="47" s="1"/>
  <c r="AT56" i="47" s="1"/>
  <c r="AO56" i="47"/>
  <c r="AP56" i="47" s="1"/>
  <c r="AS56" i="47" s="1"/>
  <c r="AM56" i="47"/>
  <c r="AY56" i="47" s="1"/>
  <c r="AL56" i="47"/>
  <c r="AK56" i="47"/>
  <c r="B56" i="47"/>
  <c r="A56" i="47"/>
  <c r="AQ55" i="47"/>
  <c r="AR55" i="47" s="1"/>
  <c r="AT55" i="47" s="1"/>
  <c r="AO55" i="47"/>
  <c r="AP55" i="47" s="1"/>
  <c r="AS55" i="47" s="1"/>
  <c r="AM55" i="47"/>
  <c r="AY55" i="47" s="1"/>
  <c r="AL55" i="47"/>
  <c r="AX55" i="47" s="1"/>
  <c r="AK55" i="47"/>
  <c r="B55" i="47"/>
  <c r="A55" i="47"/>
  <c r="AQ54" i="47"/>
  <c r="AR54" i="47" s="1"/>
  <c r="AT54" i="47" s="1"/>
  <c r="AO54" i="47"/>
  <c r="AP54" i="47" s="1"/>
  <c r="AS54" i="47" s="1"/>
  <c r="AM54" i="47"/>
  <c r="AY54" i="47" s="1"/>
  <c r="AL54" i="47"/>
  <c r="AX54" i="47" s="1"/>
  <c r="AK54" i="47"/>
  <c r="AW54" i="47" s="1"/>
  <c r="B54" i="47"/>
  <c r="A54" i="47"/>
  <c r="AQ53" i="47"/>
  <c r="AR53" i="47" s="1"/>
  <c r="AT53" i="47" s="1"/>
  <c r="AO53" i="47"/>
  <c r="AP53" i="47" s="1"/>
  <c r="AS53" i="47" s="1"/>
  <c r="AM53" i="47"/>
  <c r="AY53" i="47" s="1"/>
  <c r="AL53" i="47"/>
  <c r="AX53" i="47" s="1"/>
  <c r="AK53" i="47"/>
  <c r="B53" i="47"/>
  <c r="A53" i="47"/>
  <c r="AQ52" i="47"/>
  <c r="AR52" i="47" s="1"/>
  <c r="AT52" i="47" s="1"/>
  <c r="AO52" i="47"/>
  <c r="AP52" i="47" s="1"/>
  <c r="AS52" i="47" s="1"/>
  <c r="AM52" i="47"/>
  <c r="AY52" i="47" s="1"/>
  <c r="AL52" i="47"/>
  <c r="AX52" i="47" s="1"/>
  <c r="AK52" i="47"/>
  <c r="B52" i="47"/>
  <c r="A52" i="47"/>
  <c r="AQ51" i="47"/>
  <c r="AR51" i="47" s="1"/>
  <c r="AT51" i="47" s="1"/>
  <c r="AO51" i="47"/>
  <c r="AP51" i="47" s="1"/>
  <c r="AS51" i="47" s="1"/>
  <c r="AM51" i="47"/>
  <c r="AY51" i="47" s="1"/>
  <c r="AL51" i="47"/>
  <c r="AX51" i="47" s="1"/>
  <c r="AK51" i="47"/>
  <c r="B51" i="47"/>
  <c r="A51" i="47"/>
  <c r="AQ50" i="47"/>
  <c r="AR50" i="47" s="1"/>
  <c r="AT50" i="47" s="1"/>
  <c r="AO50" i="47"/>
  <c r="AP50" i="47" s="1"/>
  <c r="AS50" i="47" s="1"/>
  <c r="AM50" i="47"/>
  <c r="AY50" i="47" s="1"/>
  <c r="AL50" i="47"/>
  <c r="AX50" i="47" s="1"/>
  <c r="AK50" i="47"/>
  <c r="B50" i="47"/>
  <c r="A50" i="47"/>
  <c r="AQ49" i="47"/>
  <c r="AR49" i="47" s="1"/>
  <c r="AT49" i="47" s="1"/>
  <c r="AO49" i="47"/>
  <c r="AP49" i="47" s="1"/>
  <c r="AS49" i="47" s="1"/>
  <c r="AM49" i="47"/>
  <c r="AY49" i="47" s="1"/>
  <c r="AL49" i="47"/>
  <c r="AX49" i="47" s="1"/>
  <c r="AK49" i="47"/>
  <c r="B49" i="47"/>
  <c r="A49" i="47"/>
  <c r="AQ48" i="47"/>
  <c r="AR48" i="47" s="1"/>
  <c r="AT48" i="47" s="1"/>
  <c r="AO48" i="47"/>
  <c r="AP48" i="47" s="1"/>
  <c r="AS48" i="47" s="1"/>
  <c r="AM48" i="47"/>
  <c r="AY48" i="47" s="1"/>
  <c r="AL48" i="47"/>
  <c r="AX48" i="47" s="1"/>
  <c r="AK48" i="47"/>
  <c r="B48" i="47"/>
  <c r="A48" i="47"/>
  <c r="AQ47" i="47"/>
  <c r="AR47" i="47" s="1"/>
  <c r="AT47" i="47" s="1"/>
  <c r="AO47" i="47"/>
  <c r="AP47" i="47" s="1"/>
  <c r="AS47" i="47" s="1"/>
  <c r="AM47" i="47"/>
  <c r="AY47" i="47" s="1"/>
  <c r="AL47" i="47"/>
  <c r="AX47" i="47" s="1"/>
  <c r="AK47" i="47"/>
  <c r="B47" i="47"/>
  <c r="A47" i="47"/>
  <c r="AQ46" i="47"/>
  <c r="AR46" i="47" s="1"/>
  <c r="AT46" i="47" s="1"/>
  <c r="AO46" i="47"/>
  <c r="AP46" i="47" s="1"/>
  <c r="AS46" i="47" s="1"/>
  <c r="AM46" i="47"/>
  <c r="AY46" i="47" s="1"/>
  <c r="AL46" i="47"/>
  <c r="AX46" i="47" s="1"/>
  <c r="AK46" i="47"/>
  <c r="B46" i="47"/>
  <c r="A46" i="47"/>
  <c r="AQ45" i="47"/>
  <c r="AR45" i="47" s="1"/>
  <c r="AT45" i="47" s="1"/>
  <c r="AO45" i="47"/>
  <c r="AP45" i="47" s="1"/>
  <c r="AS45" i="47" s="1"/>
  <c r="AM45" i="47"/>
  <c r="AY45" i="47" s="1"/>
  <c r="AL45" i="47"/>
  <c r="AX45" i="47" s="1"/>
  <c r="AK45" i="47"/>
  <c r="AW45" i="47" s="1"/>
  <c r="B45" i="47"/>
  <c r="A45" i="47"/>
  <c r="AQ44" i="47"/>
  <c r="AR44" i="47" s="1"/>
  <c r="AT44" i="47" s="1"/>
  <c r="AO44" i="47"/>
  <c r="AP44" i="47" s="1"/>
  <c r="AS44" i="47" s="1"/>
  <c r="AM44" i="47"/>
  <c r="AL44" i="47"/>
  <c r="AK44" i="47"/>
  <c r="B44" i="47"/>
  <c r="A44" i="47"/>
  <c r="AQ43" i="47"/>
  <c r="AR43" i="47" s="1"/>
  <c r="AT43" i="47" s="1"/>
  <c r="AO43" i="47"/>
  <c r="AP43" i="47" s="1"/>
  <c r="AS43" i="47" s="1"/>
  <c r="AM43" i="47"/>
  <c r="AY43" i="47" s="1"/>
  <c r="AL43" i="47"/>
  <c r="AX43" i="47" s="1"/>
  <c r="AK43" i="47"/>
  <c r="AW43" i="47" s="1"/>
  <c r="B43" i="47"/>
  <c r="A43" i="47"/>
  <c r="AQ42" i="47"/>
  <c r="AR42" i="47" s="1"/>
  <c r="AT42" i="47" s="1"/>
  <c r="AO42" i="47"/>
  <c r="AP42" i="47" s="1"/>
  <c r="AS42" i="47" s="1"/>
  <c r="AM42" i="47"/>
  <c r="AY42" i="47" s="1"/>
  <c r="AL42" i="47"/>
  <c r="AX42" i="47" s="1"/>
  <c r="AK42" i="47"/>
  <c r="AW42" i="47" s="1"/>
  <c r="B42" i="47"/>
  <c r="A42" i="47"/>
  <c r="AQ41" i="47"/>
  <c r="AR41" i="47" s="1"/>
  <c r="AT41" i="47" s="1"/>
  <c r="AO41" i="47"/>
  <c r="AP41" i="47" s="1"/>
  <c r="AS41" i="47" s="1"/>
  <c r="AM41" i="47"/>
  <c r="AL41" i="47"/>
  <c r="AK41" i="47"/>
  <c r="AW41" i="47" s="1"/>
  <c r="B41" i="47"/>
  <c r="A41" i="47"/>
  <c r="AQ40" i="47"/>
  <c r="AR40" i="47" s="1"/>
  <c r="AT40" i="47" s="1"/>
  <c r="AO40" i="47"/>
  <c r="AP40" i="47" s="1"/>
  <c r="AS40" i="47" s="1"/>
  <c r="AM40" i="47"/>
  <c r="AY40" i="47" s="1"/>
  <c r="AL40" i="47"/>
  <c r="AX40" i="47" s="1"/>
  <c r="AK40" i="47"/>
  <c r="AW40" i="47" s="1"/>
  <c r="B40" i="47"/>
  <c r="A40" i="47"/>
  <c r="AQ39" i="47"/>
  <c r="AR39" i="47" s="1"/>
  <c r="AT39" i="47" s="1"/>
  <c r="AO39" i="47"/>
  <c r="AP39" i="47" s="1"/>
  <c r="AS39" i="47" s="1"/>
  <c r="AM39" i="47"/>
  <c r="AY39" i="47" s="1"/>
  <c r="AL39" i="47"/>
  <c r="AX39" i="47" s="1"/>
  <c r="AK39" i="47"/>
  <c r="AW39" i="47" s="1"/>
  <c r="B39" i="47"/>
  <c r="A39" i="47"/>
  <c r="AQ38" i="47"/>
  <c r="AR38" i="47" s="1"/>
  <c r="AT38" i="47" s="1"/>
  <c r="AO38" i="47"/>
  <c r="AP38" i="47" s="1"/>
  <c r="AS38" i="47" s="1"/>
  <c r="AM38" i="47"/>
  <c r="AL38" i="47"/>
  <c r="AK38" i="47"/>
  <c r="AW38" i="47" s="1"/>
  <c r="B38" i="47"/>
  <c r="A38" i="47"/>
  <c r="AQ37" i="47"/>
  <c r="AR37" i="47" s="1"/>
  <c r="AT37" i="47" s="1"/>
  <c r="AO37" i="47"/>
  <c r="AP37" i="47" s="1"/>
  <c r="AS37" i="47" s="1"/>
  <c r="AM37" i="47"/>
  <c r="AY37" i="47" s="1"/>
  <c r="AL37" i="47"/>
  <c r="AX37" i="47" s="1"/>
  <c r="AK37" i="47"/>
  <c r="AW37" i="47" s="1"/>
  <c r="B37" i="47"/>
  <c r="A37" i="47"/>
  <c r="AQ36" i="47"/>
  <c r="AR36" i="47" s="1"/>
  <c r="AT36" i="47" s="1"/>
  <c r="AO36" i="47"/>
  <c r="AP36" i="47" s="1"/>
  <c r="AS36" i="47" s="1"/>
  <c r="AM36" i="47"/>
  <c r="AY36" i="47" s="1"/>
  <c r="AL36" i="47"/>
  <c r="AX36" i="47" s="1"/>
  <c r="AK36" i="47"/>
  <c r="AW36" i="47" s="1"/>
  <c r="B36" i="47"/>
  <c r="A36" i="47"/>
  <c r="AQ35" i="47"/>
  <c r="AR35" i="47" s="1"/>
  <c r="AT35" i="47" s="1"/>
  <c r="AO35" i="47"/>
  <c r="AP35" i="47" s="1"/>
  <c r="AS35" i="47" s="1"/>
  <c r="AM35" i="47"/>
  <c r="AL35" i="47"/>
  <c r="AK35" i="47"/>
  <c r="AW35" i="47" s="1"/>
  <c r="B35" i="47"/>
  <c r="A35" i="47"/>
  <c r="AQ34" i="47"/>
  <c r="AR34" i="47" s="1"/>
  <c r="AT34" i="47" s="1"/>
  <c r="AO34" i="47"/>
  <c r="AP34" i="47" s="1"/>
  <c r="AS34" i="47" s="1"/>
  <c r="AM34" i="47"/>
  <c r="AY34" i="47" s="1"/>
  <c r="AL34" i="47"/>
  <c r="AX34" i="47" s="1"/>
  <c r="AK34" i="47"/>
  <c r="AW34" i="47" s="1"/>
  <c r="B34" i="47"/>
  <c r="A34" i="47"/>
  <c r="AQ33" i="47"/>
  <c r="AR33" i="47" s="1"/>
  <c r="AT33" i="47" s="1"/>
  <c r="AO33" i="47"/>
  <c r="AP33" i="47" s="1"/>
  <c r="AS33" i="47" s="1"/>
  <c r="AM33" i="47"/>
  <c r="AY33" i="47" s="1"/>
  <c r="AL33" i="47"/>
  <c r="AX33" i="47" s="1"/>
  <c r="AK33" i="47"/>
  <c r="AW33" i="47" s="1"/>
  <c r="B33" i="47"/>
  <c r="A33" i="47"/>
  <c r="AQ32" i="47"/>
  <c r="AR32" i="47" s="1"/>
  <c r="AT32" i="47" s="1"/>
  <c r="AO32" i="47"/>
  <c r="AP32" i="47" s="1"/>
  <c r="AS32" i="47" s="1"/>
  <c r="AM32" i="47"/>
  <c r="AL32" i="47"/>
  <c r="AK32" i="47"/>
  <c r="AW32" i="47" s="1"/>
  <c r="B32" i="47"/>
  <c r="A32" i="47"/>
  <c r="AQ31" i="47"/>
  <c r="AR31" i="47" s="1"/>
  <c r="AT31" i="47" s="1"/>
  <c r="AO31" i="47"/>
  <c r="AP31" i="47" s="1"/>
  <c r="AS31" i="47" s="1"/>
  <c r="AM31" i="47"/>
  <c r="AY31" i="47" s="1"/>
  <c r="AL31" i="47"/>
  <c r="AX31" i="47" s="1"/>
  <c r="AK31" i="47"/>
  <c r="AW31" i="47" s="1"/>
  <c r="B31" i="47"/>
  <c r="A31" i="47"/>
  <c r="AQ30" i="47"/>
  <c r="AR30" i="47" s="1"/>
  <c r="AT30" i="47" s="1"/>
  <c r="AO30" i="47"/>
  <c r="AP30" i="47" s="1"/>
  <c r="AS30" i="47" s="1"/>
  <c r="AM30" i="47"/>
  <c r="AY30" i="47" s="1"/>
  <c r="AL30" i="47"/>
  <c r="AX30" i="47" s="1"/>
  <c r="AK30" i="47"/>
  <c r="AW30" i="47" s="1"/>
  <c r="B30" i="47"/>
  <c r="A30" i="47"/>
  <c r="AQ29" i="47"/>
  <c r="AR29" i="47" s="1"/>
  <c r="AT29" i="47" s="1"/>
  <c r="AO29" i="47"/>
  <c r="AP29" i="47" s="1"/>
  <c r="AS29" i="47" s="1"/>
  <c r="AM29" i="47"/>
  <c r="AL29" i="47"/>
  <c r="AK29" i="47"/>
  <c r="AW29" i="47" s="1"/>
  <c r="B29" i="47"/>
  <c r="A29" i="47"/>
  <c r="AQ28" i="47"/>
  <c r="AR28" i="47" s="1"/>
  <c r="AT28" i="47" s="1"/>
  <c r="AO28" i="47"/>
  <c r="AP28" i="47" s="1"/>
  <c r="AS28" i="47" s="1"/>
  <c r="AM28" i="47"/>
  <c r="AY28" i="47" s="1"/>
  <c r="AL28" i="47"/>
  <c r="AX28" i="47" s="1"/>
  <c r="AK28" i="47"/>
  <c r="AW28" i="47" s="1"/>
  <c r="B28" i="47"/>
  <c r="A28" i="47"/>
  <c r="AQ27" i="47"/>
  <c r="AR27" i="47" s="1"/>
  <c r="AT27" i="47" s="1"/>
  <c r="AO27" i="47"/>
  <c r="AP27" i="47" s="1"/>
  <c r="AS27" i="47" s="1"/>
  <c r="AM27" i="47"/>
  <c r="AY27" i="47" s="1"/>
  <c r="AL27" i="47"/>
  <c r="AX27" i="47" s="1"/>
  <c r="AK27" i="47"/>
  <c r="AW27" i="47" s="1"/>
  <c r="B27" i="47"/>
  <c r="A27" i="47"/>
  <c r="AQ26" i="47"/>
  <c r="AR26" i="47" s="1"/>
  <c r="AT26" i="47" s="1"/>
  <c r="AO26" i="47"/>
  <c r="AP26" i="47" s="1"/>
  <c r="AS26" i="47" s="1"/>
  <c r="AM26" i="47"/>
  <c r="AL26" i="47"/>
  <c r="AK26" i="47"/>
  <c r="AW26" i="47" s="1"/>
  <c r="B26" i="47"/>
  <c r="A26" i="47"/>
  <c r="AQ25" i="47"/>
  <c r="AR25" i="47" s="1"/>
  <c r="AT25" i="47" s="1"/>
  <c r="AO25" i="47"/>
  <c r="AP25" i="47" s="1"/>
  <c r="AS25" i="47" s="1"/>
  <c r="AM25" i="47"/>
  <c r="AY25" i="47" s="1"/>
  <c r="AL25" i="47"/>
  <c r="AX25" i="47" s="1"/>
  <c r="AK25" i="47"/>
  <c r="AW25" i="47" s="1"/>
  <c r="B25" i="47"/>
  <c r="A25" i="47"/>
  <c r="AQ24" i="47"/>
  <c r="AR24" i="47" s="1"/>
  <c r="AT24" i="47" s="1"/>
  <c r="AO24" i="47"/>
  <c r="AP24" i="47" s="1"/>
  <c r="AS24" i="47" s="1"/>
  <c r="AM24" i="47"/>
  <c r="AY24" i="47" s="1"/>
  <c r="AL24" i="47"/>
  <c r="AX24" i="47" s="1"/>
  <c r="AK24" i="47"/>
  <c r="AW24" i="47" s="1"/>
  <c r="B24" i="47"/>
  <c r="A24" i="47"/>
  <c r="AQ23" i="47"/>
  <c r="AR23" i="47" s="1"/>
  <c r="AT23" i="47" s="1"/>
  <c r="AO23" i="47"/>
  <c r="AP23" i="47" s="1"/>
  <c r="AS23" i="47" s="1"/>
  <c r="AM23" i="47"/>
  <c r="AY23" i="47" s="1"/>
  <c r="AL23" i="47"/>
  <c r="AX23" i="47" s="1"/>
  <c r="AK23" i="47"/>
  <c r="AW23" i="47" s="1"/>
  <c r="B23" i="47"/>
  <c r="A23" i="47"/>
  <c r="AQ22" i="47"/>
  <c r="AR22" i="47" s="1"/>
  <c r="AT22" i="47" s="1"/>
  <c r="AO22" i="47"/>
  <c r="AP22" i="47" s="1"/>
  <c r="AS22" i="47" s="1"/>
  <c r="AM22" i="47"/>
  <c r="AY22" i="47" s="1"/>
  <c r="AL22" i="47"/>
  <c r="AX22" i="47" s="1"/>
  <c r="AK22" i="47"/>
  <c r="B22" i="47"/>
  <c r="A22" i="47"/>
  <c r="AQ21" i="47"/>
  <c r="AR21" i="47" s="1"/>
  <c r="AT21" i="47" s="1"/>
  <c r="AO21" i="47"/>
  <c r="AP21" i="47" s="1"/>
  <c r="AS21" i="47" s="1"/>
  <c r="AM21" i="47"/>
  <c r="AY21" i="47" s="1"/>
  <c r="AL21" i="47"/>
  <c r="AX21" i="47" s="1"/>
  <c r="AK21" i="47"/>
  <c r="AW21" i="47" s="1"/>
  <c r="B21" i="47"/>
  <c r="A21" i="47"/>
  <c r="AQ20" i="47"/>
  <c r="AR20" i="47" s="1"/>
  <c r="AT20" i="47" s="1"/>
  <c r="AO20" i="47"/>
  <c r="AP20" i="47" s="1"/>
  <c r="AS20" i="47" s="1"/>
  <c r="AM20" i="47"/>
  <c r="AY20" i="47" s="1"/>
  <c r="AL20" i="47"/>
  <c r="AX20" i="47" s="1"/>
  <c r="AK20" i="47"/>
  <c r="B20" i="47"/>
  <c r="A20" i="47"/>
  <c r="AQ19" i="47"/>
  <c r="AR19" i="47" s="1"/>
  <c r="AT19" i="47" s="1"/>
  <c r="AO19" i="47"/>
  <c r="AP19" i="47" s="1"/>
  <c r="AS19" i="47" s="1"/>
  <c r="AM19" i="47"/>
  <c r="AY19" i="47" s="1"/>
  <c r="AL19" i="47"/>
  <c r="AK19" i="47"/>
  <c r="B19" i="47"/>
  <c r="A19" i="47"/>
  <c r="AQ18" i="47"/>
  <c r="AR18" i="47" s="1"/>
  <c r="AT18" i="47" s="1"/>
  <c r="AO18" i="47"/>
  <c r="AP18" i="47" s="1"/>
  <c r="AS18" i="47" s="1"/>
  <c r="AM18" i="47"/>
  <c r="AY18" i="47" s="1"/>
  <c r="AL18" i="47"/>
  <c r="AX18" i="47" s="1"/>
  <c r="AK18" i="47"/>
  <c r="AW18" i="47" s="1"/>
  <c r="B18" i="47"/>
  <c r="A18" i="47"/>
  <c r="AQ17" i="47"/>
  <c r="AR17" i="47" s="1"/>
  <c r="AT17" i="47" s="1"/>
  <c r="AO17" i="47"/>
  <c r="AP17" i="47" s="1"/>
  <c r="AS17" i="47" s="1"/>
  <c r="AM17" i="47"/>
  <c r="AL17" i="47"/>
  <c r="AK17" i="47"/>
  <c r="B17" i="47"/>
  <c r="A17" i="47"/>
  <c r="AQ16" i="47"/>
  <c r="AR16" i="47" s="1"/>
  <c r="AT16" i="47" s="1"/>
  <c r="AO16" i="47"/>
  <c r="AP16" i="47" s="1"/>
  <c r="AS16" i="47" s="1"/>
  <c r="AM16" i="47"/>
  <c r="AL16" i="47"/>
  <c r="AX16" i="47" s="1"/>
  <c r="AK16" i="47"/>
  <c r="AW16" i="47" s="1"/>
  <c r="B16" i="47"/>
  <c r="A16" i="47"/>
  <c r="AQ15" i="47"/>
  <c r="AR15" i="47" s="1"/>
  <c r="AT15" i="47" s="1"/>
  <c r="AO15" i="47"/>
  <c r="AP15" i="47" s="1"/>
  <c r="AS15" i="47" s="1"/>
  <c r="AM15" i="47"/>
  <c r="AY15" i="47" s="1"/>
  <c r="AL15" i="47"/>
  <c r="AX15" i="47" s="1"/>
  <c r="AK15" i="47"/>
  <c r="B15" i="47"/>
  <c r="A15" i="47"/>
  <c r="AQ14" i="47"/>
  <c r="AR14" i="47" s="1"/>
  <c r="AT14" i="47" s="1"/>
  <c r="AO14" i="47"/>
  <c r="AP14" i="47" s="1"/>
  <c r="AS14" i="47" s="1"/>
  <c r="AM14" i="47"/>
  <c r="AL14" i="47"/>
  <c r="AK14" i="47"/>
  <c r="AW14" i="47" s="1"/>
  <c r="B14" i="47"/>
  <c r="A14" i="47"/>
  <c r="AQ13" i="47"/>
  <c r="AR13" i="47" s="1"/>
  <c r="AT13" i="47" s="1"/>
  <c r="AO13" i="47"/>
  <c r="AP13" i="47" s="1"/>
  <c r="AS13" i="47" s="1"/>
  <c r="AM13" i="47"/>
  <c r="AY13" i="47" s="1"/>
  <c r="AL13" i="47"/>
  <c r="AX13" i="47" s="1"/>
  <c r="AK13" i="47"/>
  <c r="AW13" i="47" s="1"/>
  <c r="B13" i="47"/>
  <c r="A13" i="47"/>
  <c r="AQ12" i="47"/>
  <c r="AR12" i="47" s="1"/>
  <c r="AT12" i="47" s="1"/>
  <c r="AO12" i="47"/>
  <c r="AP12" i="47" s="1"/>
  <c r="AS12" i="47" s="1"/>
  <c r="AM12" i="47"/>
  <c r="AY12" i="47" s="1"/>
  <c r="AL12" i="47"/>
  <c r="AX12" i="47" s="1"/>
  <c r="AK12" i="47"/>
  <c r="AW12" i="47" s="1"/>
  <c r="B12" i="47"/>
  <c r="A12" i="47"/>
  <c r="AQ11" i="47"/>
  <c r="AR11" i="47" s="1"/>
  <c r="AT11" i="47" s="1"/>
  <c r="AO11" i="47"/>
  <c r="AP11" i="47" s="1"/>
  <c r="AS11" i="47" s="1"/>
  <c r="AM11" i="47"/>
  <c r="AY11" i="47" s="1"/>
  <c r="AL11" i="47"/>
  <c r="AX11" i="47" s="1"/>
  <c r="AK11" i="47"/>
  <c r="AW11" i="47" s="1"/>
  <c r="B11" i="47"/>
  <c r="A11" i="47"/>
  <c r="AQ10" i="47"/>
  <c r="AR10" i="47" s="1"/>
  <c r="AT10" i="47" s="1"/>
  <c r="AO10" i="47"/>
  <c r="AM10" i="47"/>
  <c r="AY10" i="47" s="1"/>
  <c r="AL10" i="47"/>
  <c r="AX10" i="47" s="1"/>
  <c r="AK10" i="47"/>
  <c r="B10" i="47"/>
  <c r="A10" i="47"/>
  <c r="AQ9" i="47"/>
  <c r="AO9" i="47"/>
  <c r="AM9" i="47"/>
  <c r="AY9" i="47" s="1"/>
  <c r="AL9" i="47"/>
  <c r="AX9" i="47" s="1"/>
  <c r="AK9" i="47"/>
  <c r="B9" i="47"/>
  <c r="A9" i="47"/>
  <c r="AY8" i="47"/>
  <c r="AX8" i="47"/>
  <c r="AW8" i="47"/>
  <c r="AM7" i="47"/>
  <c r="AI7" i="47"/>
  <c r="W7" i="47"/>
  <c r="AL7" i="47" s="1"/>
  <c r="C7" i="47"/>
  <c r="AK7" i="47" s="1"/>
  <c r="BB5" i="47"/>
  <c r="BA5" i="47"/>
  <c r="AZ5" i="47"/>
  <c r="BB4" i="47"/>
  <c r="BA4" i="47"/>
  <c r="AZ4" i="47"/>
  <c r="AQ68" i="46"/>
  <c r="AR68" i="46" s="1"/>
  <c r="AT68" i="46" s="1"/>
  <c r="AO68" i="46"/>
  <c r="AP68" i="46" s="1"/>
  <c r="AS68" i="46" s="1"/>
  <c r="AM68" i="46"/>
  <c r="AY68" i="46" s="1"/>
  <c r="AL68" i="46"/>
  <c r="AX68" i="46" s="1"/>
  <c r="AK68" i="46"/>
  <c r="AW68" i="46" s="1"/>
  <c r="B68" i="46"/>
  <c r="A68" i="46"/>
  <c r="AQ67" i="46"/>
  <c r="AR67" i="46" s="1"/>
  <c r="AT67" i="46" s="1"/>
  <c r="AO67" i="46"/>
  <c r="AP67" i="46" s="1"/>
  <c r="AS67" i="46" s="1"/>
  <c r="AM67" i="46"/>
  <c r="AL67" i="46"/>
  <c r="AX67" i="46" s="1"/>
  <c r="AK67" i="46"/>
  <c r="B67" i="46"/>
  <c r="A67" i="46"/>
  <c r="AQ66" i="46"/>
  <c r="AR66" i="46" s="1"/>
  <c r="AT66" i="46" s="1"/>
  <c r="AO66" i="46"/>
  <c r="AP66" i="46" s="1"/>
  <c r="AS66" i="46" s="1"/>
  <c r="AM66" i="46"/>
  <c r="AY66" i="46" s="1"/>
  <c r="AL66" i="46"/>
  <c r="AX66" i="46" s="1"/>
  <c r="AK66" i="46"/>
  <c r="AW66" i="46" s="1"/>
  <c r="B66" i="46"/>
  <c r="A66" i="46"/>
  <c r="AQ65" i="46"/>
  <c r="AR65" i="46" s="1"/>
  <c r="AT65" i="46" s="1"/>
  <c r="AO65" i="46"/>
  <c r="AP65" i="46" s="1"/>
  <c r="AS65" i="46" s="1"/>
  <c r="AM65" i="46"/>
  <c r="AY65" i="46" s="1"/>
  <c r="AL65" i="46"/>
  <c r="AX65" i="46" s="1"/>
  <c r="AK65" i="46"/>
  <c r="AW65" i="46" s="1"/>
  <c r="B65" i="46"/>
  <c r="A65" i="46"/>
  <c r="AQ64" i="46"/>
  <c r="AR64" i="46" s="1"/>
  <c r="AT64" i="46" s="1"/>
  <c r="AO64" i="46"/>
  <c r="AP64" i="46" s="1"/>
  <c r="AS64" i="46" s="1"/>
  <c r="AM64" i="46"/>
  <c r="AL64" i="46"/>
  <c r="AK64" i="46"/>
  <c r="B64" i="46"/>
  <c r="A64" i="46"/>
  <c r="AQ63" i="46"/>
  <c r="AR63" i="46" s="1"/>
  <c r="AT63" i="46" s="1"/>
  <c r="AO63" i="46"/>
  <c r="AP63" i="46" s="1"/>
  <c r="AS63" i="46" s="1"/>
  <c r="AM63" i="46"/>
  <c r="AY63" i="46" s="1"/>
  <c r="AL63" i="46"/>
  <c r="AX63" i="46" s="1"/>
  <c r="AK63" i="46"/>
  <c r="B63" i="46"/>
  <c r="A63" i="46"/>
  <c r="AQ62" i="46"/>
  <c r="AR62" i="46" s="1"/>
  <c r="AT62" i="46" s="1"/>
  <c r="AO62" i="46"/>
  <c r="AP62" i="46" s="1"/>
  <c r="AS62" i="46" s="1"/>
  <c r="AM62" i="46"/>
  <c r="AY62" i="46" s="1"/>
  <c r="AL62" i="46"/>
  <c r="AX62" i="46" s="1"/>
  <c r="AK62" i="46"/>
  <c r="AW62" i="46" s="1"/>
  <c r="B62" i="46"/>
  <c r="A62" i="46"/>
  <c r="AQ61" i="46"/>
  <c r="AR61" i="46" s="1"/>
  <c r="AT61" i="46" s="1"/>
  <c r="AO61" i="46"/>
  <c r="AP61" i="46" s="1"/>
  <c r="AS61" i="46" s="1"/>
  <c r="AM61" i="46"/>
  <c r="AL61" i="46"/>
  <c r="AK61" i="46"/>
  <c r="B61" i="46"/>
  <c r="A61" i="46"/>
  <c r="AQ60" i="46"/>
  <c r="AR60" i="46" s="1"/>
  <c r="AT60" i="46" s="1"/>
  <c r="AO60" i="46"/>
  <c r="AP60" i="46" s="1"/>
  <c r="AS60" i="46" s="1"/>
  <c r="AM60" i="46"/>
  <c r="AY60" i="46" s="1"/>
  <c r="AL60" i="46"/>
  <c r="AX60" i="46" s="1"/>
  <c r="AK60" i="46"/>
  <c r="B60" i="46"/>
  <c r="A60" i="46"/>
  <c r="AQ59" i="46"/>
  <c r="AR59" i="46" s="1"/>
  <c r="AT59" i="46" s="1"/>
  <c r="AO59" i="46"/>
  <c r="AP59" i="46" s="1"/>
  <c r="AS59" i="46" s="1"/>
  <c r="AM59" i="46"/>
  <c r="AY59" i="46" s="1"/>
  <c r="AL59" i="46"/>
  <c r="AX59" i="46" s="1"/>
  <c r="AK59" i="46"/>
  <c r="AW59" i="46" s="1"/>
  <c r="B59" i="46"/>
  <c r="A59" i="46"/>
  <c r="AQ58" i="46"/>
  <c r="AR58" i="46" s="1"/>
  <c r="AT58" i="46" s="1"/>
  <c r="AO58" i="46"/>
  <c r="AP58" i="46" s="1"/>
  <c r="AS58" i="46" s="1"/>
  <c r="AM58" i="46"/>
  <c r="AL58" i="46"/>
  <c r="AK58" i="46"/>
  <c r="B58" i="46"/>
  <c r="A58" i="46"/>
  <c r="AQ57" i="46"/>
  <c r="AR57" i="46" s="1"/>
  <c r="AT57" i="46" s="1"/>
  <c r="AO57" i="46"/>
  <c r="AP57" i="46" s="1"/>
  <c r="AS57" i="46" s="1"/>
  <c r="AM57" i="46"/>
  <c r="AY57" i="46" s="1"/>
  <c r="AL57" i="46"/>
  <c r="AX57" i="46" s="1"/>
  <c r="AK57" i="46"/>
  <c r="AW57" i="46" s="1"/>
  <c r="B57" i="46"/>
  <c r="A57" i="46"/>
  <c r="AQ56" i="46"/>
  <c r="AR56" i="46" s="1"/>
  <c r="AT56" i="46" s="1"/>
  <c r="AO56" i="46"/>
  <c r="AP56" i="46" s="1"/>
  <c r="AS56" i="46" s="1"/>
  <c r="AM56" i="46"/>
  <c r="AY56" i="46" s="1"/>
  <c r="AL56" i="46"/>
  <c r="AX56" i="46" s="1"/>
  <c r="AK56" i="46"/>
  <c r="AW56" i="46" s="1"/>
  <c r="B56" i="46"/>
  <c r="A56" i="46"/>
  <c r="AQ55" i="46"/>
  <c r="AR55" i="46" s="1"/>
  <c r="AT55" i="46" s="1"/>
  <c r="AO55" i="46"/>
  <c r="AP55" i="46" s="1"/>
  <c r="AS55" i="46" s="1"/>
  <c r="AM55" i="46"/>
  <c r="AL55" i="46"/>
  <c r="AK55" i="46"/>
  <c r="B55" i="46"/>
  <c r="A55" i="46"/>
  <c r="AQ54" i="46"/>
  <c r="AR54" i="46" s="1"/>
  <c r="AT54" i="46" s="1"/>
  <c r="AO54" i="46"/>
  <c r="AP54" i="46" s="1"/>
  <c r="AS54" i="46" s="1"/>
  <c r="AM54" i="46"/>
  <c r="AY54" i="46" s="1"/>
  <c r="AL54" i="46"/>
  <c r="AX54" i="46" s="1"/>
  <c r="AK54" i="46"/>
  <c r="AW54" i="46" s="1"/>
  <c r="B54" i="46"/>
  <c r="A54" i="46"/>
  <c r="AQ53" i="46"/>
  <c r="AR53" i="46" s="1"/>
  <c r="AT53" i="46" s="1"/>
  <c r="AO53" i="46"/>
  <c r="AP53" i="46" s="1"/>
  <c r="AS53" i="46" s="1"/>
  <c r="AM53" i="46"/>
  <c r="AL53" i="46"/>
  <c r="AX53" i="46" s="1"/>
  <c r="AK53" i="46"/>
  <c r="AW53" i="46" s="1"/>
  <c r="B53" i="46"/>
  <c r="A53" i="46"/>
  <c r="AQ52" i="46"/>
  <c r="AR52" i="46" s="1"/>
  <c r="AT52" i="46" s="1"/>
  <c r="AO52" i="46"/>
  <c r="AP52" i="46" s="1"/>
  <c r="AS52" i="46" s="1"/>
  <c r="AM52" i="46"/>
  <c r="AL52" i="46"/>
  <c r="AK52" i="46"/>
  <c r="B52" i="46"/>
  <c r="A52" i="46"/>
  <c r="AQ51" i="46"/>
  <c r="AR51" i="46" s="1"/>
  <c r="AT51" i="46" s="1"/>
  <c r="AO51" i="46"/>
  <c r="AP51" i="46" s="1"/>
  <c r="AS51" i="46" s="1"/>
  <c r="AM51" i="46"/>
  <c r="AY51" i="46" s="1"/>
  <c r="AL51" i="46"/>
  <c r="AX51" i="46" s="1"/>
  <c r="AK51" i="46"/>
  <c r="AW51" i="46" s="1"/>
  <c r="B51" i="46"/>
  <c r="A51" i="46"/>
  <c r="AQ50" i="46"/>
  <c r="AR50" i="46" s="1"/>
  <c r="AT50" i="46" s="1"/>
  <c r="AO50" i="46"/>
  <c r="AP50" i="46" s="1"/>
  <c r="AS50" i="46" s="1"/>
  <c r="AM50" i="46"/>
  <c r="AL50" i="46"/>
  <c r="AX50" i="46" s="1"/>
  <c r="AK50" i="46"/>
  <c r="AW50" i="46" s="1"/>
  <c r="B50" i="46"/>
  <c r="A50" i="46"/>
  <c r="AQ49" i="46"/>
  <c r="AR49" i="46" s="1"/>
  <c r="AT49" i="46" s="1"/>
  <c r="AO49" i="46"/>
  <c r="AP49" i="46" s="1"/>
  <c r="AS49" i="46" s="1"/>
  <c r="AM49" i="46"/>
  <c r="AL49" i="46"/>
  <c r="AK49" i="46"/>
  <c r="B49" i="46"/>
  <c r="A49" i="46"/>
  <c r="AQ48" i="46"/>
  <c r="AR48" i="46" s="1"/>
  <c r="AT48" i="46" s="1"/>
  <c r="AO48" i="46"/>
  <c r="AP48" i="46" s="1"/>
  <c r="AS48" i="46" s="1"/>
  <c r="AM48" i="46"/>
  <c r="AY48" i="46" s="1"/>
  <c r="AL48" i="46"/>
  <c r="AX48" i="46" s="1"/>
  <c r="AK48" i="46"/>
  <c r="AW48" i="46" s="1"/>
  <c r="B48" i="46"/>
  <c r="A48" i="46"/>
  <c r="AQ47" i="46"/>
  <c r="AR47" i="46" s="1"/>
  <c r="AT47" i="46" s="1"/>
  <c r="AO47" i="46"/>
  <c r="AP47" i="46" s="1"/>
  <c r="AS47" i="46" s="1"/>
  <c r="AM47" i="46"/>
  <c r="AL47" i="46"/>
  <c r="AX47" i="46" s="1"/>
  <c r="AK47" i="46"/>
  <c r="AW47" i="46" s="1"/>
  <c r="B47" i="46"/>
  <c r="A47" i="46"/>
  <c r="AQ46" i="46"/>
  <c r="AR46" i="46" s="1"/>
  <c r="AT46" i="46" s="1"/>
  <c r="AO46" i="46"/>
  <c r="AP46" i="46" s="1"/>
  <c r="AS46" i="46" s="1"/>
  <c r="AM46" i="46"/>
  <c r="AL46" i="46"/>
  <c r="AK46" i="46"/>
  <c r="B46" i="46"/>
  <c r="A46" i="46"/>
  <c r="AQ45" i="46"/>
  <c r="AR45" i="46" s="1"/>
  <c r="AT45" i="46" s="1"/>
  <c r="AO45" i="46"/>
  <c r="AP45" i="46" s="1"/>
  <c r="AS45" i="46" s="1"/>
  <c r="AM45" i="46"/>
  <c r="AY45" i="46" s="1"/>
  <c r="AL45" i="46"/>
  <c r="AX45" i="46" s="1"/>
  <c r="AK45" i="46"/>
  <c r="AW45" i="46" s="1"/>
  <c r="B45" i="46"/>
  <c r="A45" i="46"/>
  <c r="AQ44" i="46"/>
  <c r="AR44" i="46" s="1"/>
  <c r="AT44" i="46" s="1"/>
  <c r="AO44" i="46"/>
  <c r="AP44" i="46" s="1"/>
  <c r="AS44" i="46" s="1"/>
  <c r="AM44" i="46"/>
  <c r="AL44" i="46"/>
  <c r="AX44" i="46" s="1"/>
  <c r="AK44" i="46"/>
  <c r="AW44" i="46" s="1"/>
  <c r="B44" i="46"/>
  <c r="A44" i="46"/>
  <c r="AQ43" i="46"/>
  <c r="AR43" i="46" s="1"/>
  <c r="AT43" i="46" s="1"/>
  <c r="AO43" i="46"/>
  <c r="AP43" i="46" s="1"/>
  <c r="AS43" i="46" s="1"/>
  <c r="AM43" i="46"/>
  <c r="AL43" i="46"/>
  <c r="AK43" i="46"/>
  <c r="B43" i="46"/>
  <c r="A43" i="46"/>
  <c r="AQ42" i="46"/>
  <c r="AR42" i="46" s="1"/>
  <c r="AT42" i="46" s="1"/>
  <c r="AO42" i="46"/>
  <c r="AP42" i="46" s="1"/>
  <c r="AS42" i="46" s="1"/>
  <c r="AM42" i="46"/>
  <c r="AY42" i="46" s="1"/>
  <c r="AL42" i="46"/>
  <c r="AX42" i="46" s="1"/>
  <c r="AK42" i="46"/>
  <c r="AW42" i="46" s="1"/>
  <c r="B42" i="46"/>
  <c r="A42" i="46"/>
  <c r="AQ41" i="46"/>
  <c r="AR41" i="46" s="1"/>
  <c r="AT41" i="46" s="1"/>
  <c r="AO41" i="46"/>
  <c r="AP41" i="46" s="1"/>
  <c r="AS41" i="46" s="1"/>
  <c r="AM41" i="46"/>
  <c r="AL41" i="46"/>
  <c r="AX41" i="46" s="1"/>
  <c r="AK41" i="46"/>
  <c r="AW41" i="46" s="1"/>
  <c r="B41" i="46"/>
  <c r="A41" i="46"/>
  <c r="AQ40" i="46"/>
  <c r="AR40" i="46" s="1"/>
  <c r="AT40" i="46" s="1"/>
  <c r="AO40" i="46"/>
  <c r="AP40" i="46" s="1"/>
  <c r="AS40" i="46" s="1"/>
  <c r="AM40" i="46"/>
  <c r="AL40" i="46"/>
  <c r="AK40" i="46"/>
  <c r="B40" i="46"/>
  <c r="A40" i="46"/>
  <c r="AQ39" i="46"/>
  <c r="AR39" i="46" s="1"/>
  <c r="AT39" i="46" s="1"/>
  <c r="AO39" i="46"/>
  <c r="AP39" i="46" s="1"/>
  <c r="AS39" i="46" s="1"/>
  <c r="AM39" i="46"/>
  <c r="AY39" i="46" s="1"/>
  <c r="AL39" i="46"/>
  <c r="AX39" i="46" s="1"/>
  <c r="AK39" i="46"/>
  <c r="AW39" i="46" s="1"/>
  <c r="B39" i="46"/>
  <c r="A39" i="46"/>
  <c r="AQ38" i="46"/>
  <c r="AR38" i="46" s="1"/>
  <c r="AT38" i="46" s="1"/>
  <c r="AO38" i="46"/>
  <c r="AP38" i="46" s="1"/>
  <c r="AS38" i="46" s="1"/>
  <c r="AM38" i="46"/>
  <c r="AY38" i="46" s="1"/>
  <c r="AL38" i="46"/>
  <c r="AX38" i="46" s="1"/>
  <c r="AK38" i="46"/>
  <c r="AW38" i="46" s="1"/>
  <c r="B38" i="46"/>
  <c r="A38" i="46"/>
  <c r="AQ37" i="46"/>
  <c r="AR37" i="46" s="1"/>
  <c r="AT37" i="46" s="1"/>
  <c r="AO37" i="46"/>
  <c r="AP37" i="46" s="1"/>
  <c r="AS37" i="46" s="1"/>
  <c r="AM37" i="46"/>
  <c r="AL37" i="46"/>
  <c r="AK37" i="46"/>
  <c r="B37" i="46"/>
  <c r="A37" i="46"/>
  <c r="AQ36" i="46"/>
  <c r="AR36" i="46" s="1"/>
  <c r="AT36" i="46" s="1"/>
  <c r="AO36" i="46"/>
  <c r="AP36" i="46" s="1"/>
  <c r="AS36" i="46" s="1"/>
  <c r="AM36" i="46"/>
  <c r="AY36" i="46" s="1"/>
  <c r="AL36" i="46"/>
  <c r="AX36" i="46" s="1"/>
  <c r="AK36" i="46"/>
  <c r="AW36" i="46" s="1"/>
  <c r="B36" i="46"/>
  <c r="A36" i="46"/>
  <c r="AQ35" i="46"/>
  <c r="AR35" i="46" s="1"/>
  <c r="AT35" i="46" s="1"/>
  <c r="AO35" i="46"/>
  <c r="AP35" i="46" s="1"/>
  <c r="AS35" i="46" s="1"/>
  <c r="AM35" i="46"/>
  <c r="AY35" i="46" s="1"/>
  <c r="AL35" i="46"/>
  <c r="AX35" i="46" s="1"/>
  <c r="AK35" i="46"/>
  <c r="AW35" i="46" s="1"/>
  <c r="B35" i="46"/>
  <c r="A35" i="46"/>
  <c r="AQ34" i="46"/>
  <c r="AR34" i="46" s="1"/>
  <c r="AT34" i="46" s="1"/>
  <c r="AO34" i="46"/>
  <c r="AP34" i="46" s="1"/>
  <c r="AS34" i="46" s="1"/>
  <c r="AM34" i="46"/>
  <c r="AL34" i="46"/>
  <c r="AK34" i="46"/>
  <c r="B34" i="46"/>
  <c r="A34" i="46"/>
  <c r="AQ33" i="46"/>
  <c r="AR33" i="46" s="1"/>
  <c r="AT33" i="46" s="1"/>
  <c r="AO33" i="46"/>
  <c r="AP33" i="46" s="1"/>
  <c r="AS33" i="46" s="1"/>
  <c r="AM33" i="46"/>
  <c r="AY33" i="46" s="1"/>
  <c r="AL33" i="46"/>
  <c r="AX33" i="46" s="1"/>
  <c r="AK33" i="46"/>
  <c r="AW33" i="46" s="1"/>
  <c r="B33" i="46"/>
  <c r="A33" i="46"/>
  <c r="AQ32" i="46"/>
  <c r="AR32" i="46" s="1"/>
  <c r="AT32" i="46" s="1"/>
  <c r="AO32" i="46"/>
  <c r="AP32" i="46" s="1"/>
  <c r="AS32" i="46" s="1"/>
  <c r="AM32" i="46"/>
  <c r="AY32" i="46" s="1"/>
  <c r="AL32" i="46"/>
  <c r="AX32" i="46" s="1"/>
  <c r="AK32" i="46"/>
  <c r="AW32" i="46" s="1"/>
  <c r="B32" i="46"/>
  <c r="A32" i="46"/>
  <c r="AQ31" i="46"/>
  <c r="AR31" i="46" s="1"/>
  <c r="AT31" i="46" s="1"/>
  <c r="AO31" i="46"/>
  <c r="AP31" i="46" s="1"/>
  <c r="AS31" i="46" s="1"/>
  <c r="AM31" i="46"/>
  <c r="AL31" i="46"/>
  <c r="AK31" i="46"/>
  <c r="B31" i="46"/>
  <c r="A31" i="46"/>
  <c r="AQ30" i="46"/>
  <c r="AR30" i="46" s="1"/>
  <c r="AT30" i="46" s="1"/>
  <c r="AO30" i="46"/>
  <c r="AP30" i="46" s="1"/>
  <c r="AS30" i="46" s="1"/>
  <c r="AM30" i="46"/>
  <c r="AY30" i="46" s="1"/>
  <c r="AL30" i="46"/>
  <c r="AX30" i="46" s="1"/>
  <c r="AK30" i="46"/>
  <c r="AW30" i="46" s="1"/>
  <c r="B30" i="46"/>
  <c r="A30" i="46"/>
  <c r="AQ29" i="46"/>
  <c r="AR29" i="46" s="1"/>
  <c r="AT29" i="46" s="1"/>
  <c r="AO29" i="46"/>
  <c r="AP29" i="46" s="1"/>
  <c r="AS29" i="46" s="1"/>
  <c r="AM29" i="46"/>
  <c r="AL29" i="46"/>
  <c r="AX29" i="46" s="1"/>
  <c r="AK29" i="46"/>
  <c r="AW29" i="46" s="1"/>
  <c r="B29" i="46"/>
  <c r="A29" i="46"/>
  <c r="AQ28" i="46"/>
  <c r="AR28" i="46" s="1"/>
  <c r="AT28" i="46" s="1"/>
  <c r="AO28" i="46"/>
  <c r="AP28" i="46" s="1"/>
  <c r="AS28" i="46" s="1"/>
  <c r="AM28" i="46"/>
  <c r="AL28" i="46"/>
  <c r="AK28" i="46"/>
  <c r="B28" i="46"/>
  <c r="A28" i="46"/>
  <c r="AQ27" i="46"/>
  <c r="AR27" i="46" s="1"/>
  <c r="AT27" i="46" s="1"/>
  <c r="AO27" i="46"/>
  <c r="AP27" i="46" s="1"/>
  <c r="AS27" i="46" s="1"/>
  <c r="AM27" i="46"/>
  <c r="AY27" i="46" s="1"/>
  <c r="AL27" i="46"/>
  <c r="AX27" i="46" s="1"/>
  <c r="AK27" i="46"/>
  <c r="AW27" i="46" s="1"/>
  <c r="B27" i="46"/>
  <c r="A27" i="46"/>
  <c r="AQ26" i="46"/>
  <c r="AR26" i="46" s="1"/>
  <c r="AT26" i="46" s="1"/>
  <c r="AO26" i="46"/>
  <c r="AP26" i="46" s="1"/>
  <c r="AS26" i="46" s="1"/>
  <c r="AM26" i="46"/>
  <c r="AY26" i="46" s="1"/>
  <c r="AL26" i="46"/>
  <c r="AX26" i="46" s="1"/>
  <c r="AK26" i="46"/>
  <c r="AW26" i="46" s="1"/>
  <c r="B26" i="46"/>
  <c r="A26" i="46"/>
  <c r="AQ25" i="46"/>
  <c r="AR25" i="46" s="1"/>
  <c r="AT25" i="46" s="1"/>
  <c r="AO25" i="46"/>
  <c r="AP25" i="46" s="1"/>
  <c r="AS25" i="46" s="1"/>
  <c r="AM25" i="46"/>
  <c r="AL25" i="46"/>
  <c r="AK25" i="46"/>
  <c r="B25" i="46"/>
  <c r="A25" i="46"/>
  <c r="AQ24" i="46"/>
  <c r="AR24" i="46" s="1"/>
  <c r="AT24" i="46" s="1"/>
  <c r="AO24" i="46"/>
  <c r="AP24" i="46" s="1"/>
  <c r="AS24" i="46" s="1"/>
  <c r="AM24" i="46"/>
  <c r="AY24" i="46" s="1"/>
  <c r="AL24" i="46"/>
  <c r="AX24" i="46" s="1"/>
  <c r="AK24" i="46"/>
  <c r="B24" i="46"/>
  <c r="A24" i="46"/>
  <c r="AQ23" i="46"/>
  <c r="AR23" i="46" s="1"/>
  <c r="AT23" i="46" s="1"/>
  <c r="AO23" i="46"/>
  <c r="AP23" i="46" s="1"/>
  <c r="AS23" i="46" s="1"/>
  <c r="AM23" i="46"/>
  <c r="AY23" i="46" s="1"/>
  <c r="AL23" i="46"/>
  <c r="AX23" i="46" s="1"/>
  <c r="AK23" i="46"/>
  <c r="AW23" i="46" s="1"/>
  <c r="B23" i="46"/>
  <c r="A23" i="46"/>
  <c r="AQ22" i="46"/>
  <c r="AR22" i="46" s="1"/>
  <c r="AT22" i="46" s="1"/>
  <c r="AO22" i="46"/>
  <c r="AP22" i="46" s="1"/>
  <c r="AS22" i="46" s="1"/>
  <c r="AM22" i="46"/>
  <c r="AL22" i="46"/>
  <c r="AK22" i="46"/>
  <c r="B22" i="46"/>
  <c r="A22" i="46"/>
  <c r="AQ21" i="46"/>
  <c r="AR21" i="46" s="1"/>
  <c r="AT21" i="46" s="1"/>
  <c r="AO21" i="46"/>
  <c r="AP21" i="46" s="1"/>
  <c r="AS21" i="46" s="1"/>
  <c r="AM21" i="46"/>
  <c r="AL21" i="46"/>
  <c r="AX21" i="46" s="1"/>
  <c r="AK21" i="46"/>
  <c r="B21" i="46"/>
  <c r="A21" i="46"/>
  <c r="AQ20" i="46"/>
  <c r="AR20" i="46" s="1"/>
  <c r="AT20" i="46" s="1"/>
  <c r="AO20" i="46"/>
  <c r="AP20" i="46" s="1"/>
  <c r="AS20" i="46" s="1"/>
  <c r="AM20" i="46"/>
  <c r="AY20" i="46" s="1"/>
  <c r="AL20" i="46"/>
  <c r="AX20" i="46" s="1"/>
  <c r="AK20" i="46"/>
  <c r="AW20" i="46" s="1"/>
  <c r="B20" i="46"/>
  <c r="A20" i="46"/>
  <c r="AQ19" i="46"/>
  <c r="AR19" i="46" s="1"/>
  <c r="AT19" i="46" s="1"/>
  <c r="AO19" i="46"/>
  <c r="AP19" i="46" s="1"/>
  <c r="AS19" i="46" s="1"/>
  <c r="AM19" i="46"/>
  <c r="AL19" i="46"/>
  <c r="AX19" i="46" s="1"/>
  <c r="AK19" i="46"/>
  <c r="B19" i="46"/>
  <c r="A19" i="46"/>
  <c r="AQ18" i="46"/>
  <c r="AR18" i="46" s="1"/>
  <c r="AT18" i="46" s="1"/>
  <c r="AO18" i="46"/>
  <c r="AP18" i="46" s="1"/>
  <c r="AS18" i="46" s="1"/>
  <c r="AM18" i="46"/>
  <c r="AL18" i="46"/>
  <c r="AX18" i="46" s="1"/>
  <c r="AK18" i="46"/>
  <c r="B18" i="46"/>
  <c r="A18" i="46"/>
  <c r="AQ17" i="46"/>
  <c r="AR17" i="46" s="1"/>
  <c r="AT17" i="46" s="1"/>
  <c r="AO17" i="46"/>
  <c r="AP17" i="46" s="1"/>
  <c r="AS17" i="46" s="1"/>
  <c r="AM17" i="46"/>
  <c r="AY17" i="46" s="1"/>
  <c r="AL17" i="46"/>
  <c r="AX17" i="46" s="1"/>
  <c r="AK17" i="46"/>
  <c r="AW17" i="46" s="1"/>
  <c r="B17" i="46"/>
  <c r="A17" i="46"/>
  <c r="AQ16" i="46"/>
  <c r="AR16" i="46" s="1"/>
  <c r="AT16" i="46" s="1"/>
  <c r="AO16" i="46"/>
  <c r="AP16" i="46" s="1"/>
  <c r="AS16" i="46" s="1"/>
  <c r="AM16" i="46"/>
  <c r="AL16" i="46"/>
  <c r="AX16" i="46" s="1"/>
  <c r="AK16" i="46"/>
  <c r="B16" i="46"/>
  <c r="A16" i="46"/>
  <c r="AQ15" i="46"/>
  <c r="AR15" i="46" s="1"/>
  <c r="AT15" i="46" s="1"/>
  <c r="AO15" i="46"/>
  <c r="AP15" i="46" s="1"/>
  <c r="AS15" i="46" s="1"/>
  <c r="AM15" i="46"/>
  <c r="AL15" i="46"/>
  <c r="AX15" i="46" s="1"/>
  <c r="AK15" i="46"/>
  <c r="B15" i="46"/>
  <c r="A15" i="46"/>
  <c r="AQ14" i="46"/>
  <c r="AR14" i="46" s="1"/>
  <c r="AT14" i="46" s="1"/>
  <c r="AO14" i="46"/>
  <c r="AP14" i="46" s="1"/>
  <c r="AS14" i="46" s="1"/>
  <c r="AM14" i="46"/>
  <c r="AY14" i="46" s="1"/>
  <c r="AL14" i="46"/>
  <c r="AX14" i="46" s="1"/>
  <c r="AK14" i="46"/>
  <c r="AW14" i="46" s="1"/>
  <c r="B14" i="46"/>
  <c r="A14" i="46"/>
  <c r="AQ13" i="46"/>
  <c r="AR13" i="46" s="1"/>
  <c r="AT13" i="46" s="1"/>
  <c r="AO13" i="46"/>
  <c r="AP13" i="46" s="1"/>
  <c r="AS13" i="46" s="1"/>
  <c r="AM13" i="46"/>
  <c r="AL13" i="46"/>
  <c r="AX13" i="46" s="1"/>
  <c r="AK13" i="46"/>
  <c r="B13" i="46"/>
  <c r="A13" i="46"/>
  <c r="AQ12" i="46"/>
  <c r="AR12" i="46" s="1"/>
  <c r="AT12" i="46" s="1"/>
  <c r="AO12" i="46"/>
  <c r="AP12" i="46" s="1"/>
  <c r="AS12" i="46" s="1"/>
  <c r="AM12" i="46"/>
  <c r="AL12" i="46"/>
  <c r="AX12" i="46" s="1"/>
  <c r="AK12" i="46"/>
  <c r="B12" i="46"/>
  <c r="A12" i="46"/>
  <c r="AQ11" i="46"/>
  <c r="AR11" i="46" s="1"/>
  <c r="AT11" i="46" s="1"/>
  <c r="AO11" i="46"/>
  <c r="AP11" i="46" s="1"/>
  <c r="AS11" i="46" s="1"/>
  <c r="AM11" i="46"/>
  <c r="AY11" i="46" s="1"/>
  <c r="AL11" i="46"/>
  <c r="AX11" i="46" s="1"/>
  <c r="AK11" i="46"/>
  <c r="AW11" i="46" s="1"/>
  <c r="B11" i="46"/>
  <c r="A11" i="46"/>
  <c r="AQ10" i="46"/>
  <c r="AO10" i="46"/>
  <c r="AP10" i="46" s="1"/>
  <c r="AS10" i="46" s="1"/>
  <c r="AM10" i="46"/>
  <c r="AL10" i="46"/>
  <c r="AX10" i="46" s="1"/>
  <c r="AK10" i="46"/>
  <c r="B10" i="46"/>
  <c r="A10" i="46"/>
  <c r="AQ9" i="46"/>
  <c r="AO9" i="46"/>
  <c r="AP9" i="46" s="1"/>
  <c r="AS9" i="46" s="1"/>
  <c r="AM9" i="46"/>
  <c r="AL9" i="46"/>
  <c r="AX9" i="46" s="1"/>
  <c r="AK9" i="46"/>
  <c r="B9" i="46"/>
  <c r="A9" i="46"/>
  <c r="AY8" i="46"/>
  <c r="BB4" i="46" s="1"/>
  <c r="AX8" i="46"/>
  <c r="AW8" i="46"/>
  <c r="AZ4" i="46" s="1"/>
  <c r="AL7" i="46"/>
  <c r="AK7" i="46"/>
  <c r="AI7" i="46"/>
  <c r="AM7" i="46" s="1"/>
  <c r="W7" i="46"/>
  <c r="C7" i="46"/>
  <c r="BB5" i="46"/>
  <c r="BA5" i="46"/>
  <c r="AZ5" i="46"/>
  <c r="BA4" i="46"/>
  <c r="AQ68" i="45"/>
  <c r="AR68" i="45" s="1"/>
  <c r="AT68" i="45" s="1"/>
  <c r="AO68" i="45"/>
  <c r="AP68" i="45" s="1"/>
  <c r="AS68" i="45" s="1"/>
  <c r="AM68" i="45"/>
  <c r="AY68" i="45" s="1"/>
  <c r="AL68" i="45"/>
  <c r="AX68" i="45" s="1"/>
  <c r="AK68" i="45"/>
  <c r="B68" i="45"/>
  <c r="A68" i="45"/>
  <c r="AQ67" i="45"/>
  <c r="AR67" i="45" s="1"/>
  <c r="AT67" i="45" s="1"/>
  <c r="AO67" i="45"/>
  <c r="AP67" i="45" s="1"/>
  <c r="AS67" i="45" s="1"/>
  <c r="AM67" i="45"/>
  <c r="AL67" i="45"/>
  <c r="AK67" i="45"/>
  <c r="B67" i="45"/>
  <c r="A67" i="45"/>
  <c r="AQ66" i="45"/>
  <c r="AR66" i="45" s="1"/>
  <c r="AT66" i="45" s="1"/>
  <c r="AO66" i="45"/>
  <c r="AP66" i="45" s="1"/>
  <c r="AS66" i="45" s="1"/>
  <c r="AM66" i="45"/>
  <c r="AY66" i="45" s="1"/>
  <c r="AL66" i="45"/>
  <c r="AX66" i="45" s="1"/>
  <c r="AK66" i="45"/>
  <c r="AW66" i="45" s="1"/>
  <c r="B66" i="45"/>
  <c r="A66" i="45"/>
  <c r="AQ65" i="45"/>
  <c r="AR65" i="45" s="1"/>
  <c r="AT65" i="45" s="1"/>
  <c r="AO65" i="45"/>
  <c r="AP65" i="45" s="1"/>
  <c r="AS65" i="45" s="1"/>
  <c r="AM65" i="45"/>
  <c r="AY65" i="45" s="1"/>
  <c r="AL65" i="45"/>
  <c r="AX65" i="45" s="1"/>
  <c r="AK65" i="45"/>
  <c r="B65" i="45"/>
  <c r="A65" i="45"/>
  <c r="AQ64" i="45"/>
  <c r="AR64" i="45" s="1"/>
  <c r="AT64" i="45" s="1"/>
  <c r="AO64" i="45"/>
  <c r="AP64" i="45" s="1"/>
  <c r="AS64" i="45" s="1"/>
  <c r="AM64" i="45"/>
  <c r="AL64" i="45"/>
  <c r="AK64" i="45"/>
  <c r="B64" i="45"/>
  <c r="A64" i="45"/>
  <c r="AQ63" i="45"/>
  <c r="AR63" i="45" s="1"/>
  <c r="AT63" i="45" s="1"/>
  <c r="AO63" i="45"/>
  <c r="AP63" i="45" s="1"/>
  <c r="AS63" i="45" s="1"/>
  <c r="AM63" i="45"/>
  <c r="AY63" i="45" s="1"/>
  <c r="AL63" i="45"/>
  <c r="AX63" i="45" s="1"/>
  <c r="AK63" i="45"/>
  <c r="AW63" i="45" s="1"/>
  <c r="B63" i="45"/>
  <c r="A63" i="45"/>
  <c r="AQ62" i="45"/>
  <c r="AR62" i="45" s="1"/>
  <c r="AT62" i="45" s="1"/>
  <c r="AO62" i="45"/>
  <c r="AP62" i="45" s="1"/>
  <c r="AS62" i="45" s="1"/>
  <c r="AM62" i="45"/>
  <c r="AY62" i="45" s="1"/>
  <c r="AL62" i="45"/>
  <c r="AX62" i="45" s="1"/>
  <c r="AK62" i="45"/>
  <c r="B62" i="45"/>
  <c r="A62" i="45"/>
  <c r="AQ61" i="45"/>
  <c r="AR61" i="45" s="1"/>
  <c r="AT61" i="45" s="1"/>
  <c r="AO61" i="45"/>
  <c r="AP61" i="45" s="1"/>
  <c r="AS61" i="45" s="1"/>
  <c r="AM61" i="45"/>
  <c r="AL61" i="45"/>
  <c r="AK61" i="45"/>
  <c r="B61" i="45"/>
  <c r="A61" i="45"/>
  <c r="AQ60" i="45"/>
  <c r="AR60" i="45" s="1"/>
  <c r="AT60" i="45" s="1"/>
  <c r="AO60" i="45"/>
  <c r="AP60" i="45" s="1"/>
  <c r="AS60" i="45" s="1"/>
  <c r="AM60" i="45"/>
  <c r="AY60" i="45" s="1"/>
  <c r="AL60" i="45"/>
  <c r="AX60" i="45" s="1"/>
  <c r="AK60" i="45"/>
  <c r="B60" i="45"/>
  <c r="A60" i="45"/>
  <c r="AQ59" i="45"/>
  <c r="AR59" i="45" s="1"/>
  <c r="AT59" i="45" s="1"/>
  <c r="AO59" i="45"/>
  <c r="AP59" i="45" s="1"/>
  <c r="AS59" i="45" s="1"/>
  <c r="AM59" i="45"/>
  <c r="AY59" i="45" s="1"/>
  <c r="AL59" i="45"/>
  <c r="AX59" i="45" s="1"/>
  <c r="AK59" i="45"/>
  <c r="B59" i="45"/>
  <c r="A59" i="45"/>
  <c r="AQ58" i="45"/>
  <c r="AR58" i="45" s="1"/>
  <c r="AT58" i="45" s="1"/>
  <c r="AO58" i="45"/>
  <c r="AP58" i="45" s="1"/>
  <c r="AS58" i="45" s="1"/>
  <c r="AM58" i="45"/>
  <c r="AL58" i="45"/>
  <c r="AK58" i="45"/>
  <c r="B58" i="45"/>
  <c r="A58" i="45"/>
  <c r="AQ57" i="45"/>
  <c r="AR57" i="45" s="1"/>
  <c r="AT57" i="45" s="1"/>
  <c r="AO57" i="45"/>
  <c r="AP57" i="45" s="1"/>
  <c r="AS57" i="45" s="1"/>
  <c r="AM57" i="45"/>
  <c r="AY57" i="45" s="1"/>
  <c r="AL57" i="45"/>
  <c r="AX57" i="45" s="1"/>
  <c r="AK57" i="45"/>
  <c r="B57" i="45"/>
  <c r="A57" i="45"/>
  <c r="AQ56" i="45"/>
  <c r="AR56" i="45" s="1"/>
  <c r="AT56" i="45" s="1"/>
  <c r="AO56" i="45"/>
  <c r="AP56" i="45" s="1"/>
  <c r="AS56" i="45" s="1"/>
  <c r="AM56" i="45"/>
  <c r="AY56" i="45" s="1"/>
  <c r="AL56" i="45"/>
  <c r="AX56" i="45" s="1"/>
  <c r="AK56" i="45"/>
  <c r="B56" i="45"/>
  <c r="A56" i="45"/>
  <c r="AQ55" i="45"/>
  <c r="AR55" i="45" s="1"/>
  <c r="AT55" i="45" s="1"/>
  <c r="AO55" i="45"/>
  <c r="AP55" i="45" s="1"/>
  <c r="AS55" i="45" s="1"/>
  <c r="AM55" i="45"/>
  <c r="AL55" i="45"/>
  <c r="AK55" i="45"/>
  <c r="B55" i="45"/>
  <c r="A55" i="45"/>
  <c r="AQ54" i="45"/>
  <c r="AR54" i="45" s="1"/>
  <c r="AT54" i="45" s="1"/>
  <c r="AO54" i="45"/>
  <c r="AP54" i="45" s="1"/>
  <c r="AS54" i="45" s="1"/>
  <c r="AM54" i="45"/>
  <c r="AY54" i="45" s="1"/>
  <c r="AL54" i="45"/>
  <c r="AX54" i="45" s="1"/>
  <c r="AK54" i="45"/>
  <c r="AW54" i="45" s="1"/>
  <c r="B54" i="45"/>
  <c r="A54" i="45"/>
  <c r="AQ53" i="45"/>
  <c r="AR53" i="45" s="1"/>
  <c r="AT53" i="45" s="1"/>
  <c r="AO53" i="45"/>
  <c r="AP53" i="45" s="1"/>
  <c r="AS53" i="45" s="1"/>
  <c r="AM53" i="45"/>
  <c r="AY53" i="45" s="1"/>
  <c r="AL53" i="45"/>
  <c r="AX53" i="45" s="1"/>
  <c r="AK53" i="45"/>
  <c r="B53" i="45"/>
  <c r="A53" i="45"/>
  <c r="AQ52" i="45"/>
  <c r="AR52" i="45" s="1"/>
  <c r="AT52" i="45" s="1"/>
  <c r="AO52" i="45"/>
  <c r="AP52" i="45" s="1"/>
  <c r="AS52" i="45" s="1"/>
  <c r="AM52" i="45"/>
  <c r="AL52" i="45"/>
  <c r="AK52" i="45"/>
  <c r="B52" i="45"/>
  <c r="A52" i="45"/>
  <c r="AQ51" i="45"/>
  <c r="AR51" i="45" s="1"/>
  <c r="AT51" i="45" s="1"/>
  <c r="AO51" i="45"/>
  <c r="AP51" i="45" s="1"/>
  <c r="AS51" i="45" s="1"/>
  <c r="AM51" i="45"/>
  <c r="AY51" i="45" s="1"/>
  <c r="AL51" i="45"/>
  <c r="AX51" i="45" s="1"/>
  <c r="AK51" i="45"/>
  <c r="AW51" i="45" s="1"/>
  <c r="B51" i="45"/>
  <c r="A51" i="45"/>
  <c r="AQ50" i="45"/>
  <c r="AR50" i="45" s="1"/>
  <c r="AT50" i="45" s="1"/>
  <c r="AO50" i="45"/>
  <c r="AP50" i="45" s="1"/>
  <c r="AS50" i="45" s="1"/>
  <c r="AM50" i="45"/>
  <c r="AY50" i="45" s="1"/>
  <c r="AL50" i="45"/>
  <c r="AK50" i="45"/>
  <c r="B50" i="45"/>
  <c r="A50" i="45"/>
  <c r="AQ49" i="45"/>
  <c r="AR49" i="45" s="1"/>
  <c r="AT49" i="45" s="1"/>
  <c r="AO49" i="45"/>
  <c r="AP49" i="45" s="1"/>
  <c r="AS49" i="45" s="1"/>
  <c r="AM49" i="45"/>
  <c r="AL49" i="45"/>
  <c r="AK49" i="45"/>
  <c r="B49" i="45"/>
  <c r="A49" i="45"/>
  <c r="AQ48" i="45"/>
  <c r="AR48" i="45" s="1"/>
  <c r="AT48" i="45" s="1"/>
  <c r="AO48" i="45"/>
  <c r="AP48" i="45" s="1"/>
  <c r="AS48" i="45" s="1"/>
  <c r="AM48" i="45"/>
  <c r="AY48" i="45" s="1"/>
  <c r="AL48" i="45"/>
  <c r="AX48" i="45" s="1"/>
  <c r="AK48" i="45"/>
  <c r="B48" i="45"/>
  <c r="A48" i="45"/>
  <c r="AQ47" i="45"/>
  <c r="AR47" i="45" s="1"/>
  <c r="AT47" i="45" s="1"/>
  <c r="AO47" i="45"/>
  <c r="AP47" i="45" s="1"/>
  <c r="AS47" i="45" s="1"/>
  <c r="AM47" i="45"/>
  <c r="AY47" i="45" s="1"/>
  <c r="AL47" i="45"/>
  <c r="AK47" i="45"/>
  <c r="B47" i="45"/>
  <c r="A47" i="45"/>
  <c r="AQ46" i="45"/>
  <c r="AR46" i="45" s="1"/>
  <c r="AT46" i="45" s="1"/>
  <c r="AO46" i="45"/>
  <c r="AP46" i="45" s="1"/>
  <c r="AS46" i="45" s="1"/>
  <c r="AM46" i="45"/>
  <c r="AL46" i="45"/>
  <c r="AK46" i="45"/>
  <c r="B46" i="45"/>
  <c r="A46" i="45"/>
  <c r="AQ45" i="45"/>
  <c r="AR45" i="45" s="1"/>
  <c r="AT45" i="45" s="1"/>
  <c r="AO45" i="45"/>
  <c r="AP45" i="45" s="1"/>
  <c r="AS45" i="45" s="1"/>
  <c r="AM45" i="45"/>
  <c r="AY45" i="45" s="1"/>
  <c r="AL45" i="45"/>
  <c r="AX45" i="45" s="1"/>
  <c r="AK45" i="45"/>
  <c r="B45" i="45"/>
  <c r="A45" i="45"/>
  <c r="AQ44" i="45"/>
  <c r="AR44" i="45" s="1"/>
  <c r="AT44" i="45" s="1"/>
  <c r="AO44" i="45"/>
  <c r="AP44" i="45" s="1"/>
  <c r="AS44" i="45" s="1"/>
  <c r="AM44" i="45"/>
  <c r="AY44" i="45" s="1"/>
  <c r="AL44" i="45"/>
  <c r="AK44" i="45"/>
  <c r="B44" i="45"/>
  <c r="A44" i="45"/>
  <c r="AQ43" i="45"/>
  <c r="AR43" i="45" s="1"/>
  <c r="AT43" i="45" s="1"/>
  <c r="AO43" i="45"/>
  <c r="AP43" i="45" s="1"/>
  <c r="AS43" i="45" s="1"/>
  <c r="AM43" i="45"/>
  <c r="AL43" i="45"/>
  <c r="AK43" i="45"/>
  <c r="B43" i="45"/>
  <c r="A43" i="45"/>
  <c r="AQ42" i="45"/>
  <c r="AR42" i="45" s="1"/>
  <c r="AT42" i="45" s="1"/>
  <c r="AO42" i="45"/>
  <c r="AP42" i="45" s="1"/>
  <c r="AS42" i="45" s="1"/>
  <c r="AM42" i="45"/>
  <c r="AY42" i="45" s="1"/>
  <c r="AL42" i="45"/>
  <c r="AX42" i="45" s="1"/>
  <c r="AK42" i="45"/>
  <c r="AW42" i="45" s="1"/>
  <c r="B42" i="45"/>
  <c r="A42" i="45"/>
  <c r="AQ41" i="45"/>
  <c r="AR41" i="45" s="1"/>
  <c r="AT41" i="45" s="1"/>
  <c r="AO41" i="45"/>
  <c r="AP41" i="45" s="1"/>
  <c r="AS41" i="45" s="1"/>
  <c r="AM41" i="45"/>
  <c r="AY41" i="45" s="1"/>
  <c r="AL41" i="45"/>
  <c r="AK41" i="45"/>
  <c r="B41" i="45"/>
  <c r="A41" i="45"/>
  <c r="AQ40" i="45"/>
  <c r="AR40" i="45" s="1"/>
  <c r="AT40" i="45" s="1"/>
  <c r="AO40" i="45"/>
  <c r="AP40" i="45" s="1"/>
  <c r="AS40" i="45" s="1"/>
  <c r="AM40" i="45"/>
  <c r="AL40" i="45"/>
  <c r="AK40" i="45"/>
  <c r="B40" i="45"/>
  <c r="A40" i="45"/>
  <c r="AQ39" i="45"/>
  <c r="AR39" i="45" s="1"/>
  <c r="AT39" i="45" s="1"/>
  <c r="AO39" i="45"/>
  <c r="AP39" i="45" s="1"/>
  <c r="AS39" i="45" s="1"/>
  <c r="AM39" i="45"/>
  <c r="AY39" i="45" s="1"/>
  <c r="AL39" i="45"/>
  <c r="AX39" i="45" s="1"/>
  <c r="AK39" i="45"/>
  <c r="B39" i="45"/>
  <c r="A39" i="45"/>
  <c r="AQ38" i="45"/>
  <c r="AR38" i="45" s="1"/>
  <c r="AT38" i="45" s="1"/>
  <c r="AO38" i="45"/>
  <c r="AP38" i="45" s="1"/>
  <c r="AS38" i="45" s="1"/>
  <c r="AM38" i="45"/>
  <c r="AY38" i="45" s="1"/>
  <c r="AL38" i="45"/>
  <c r="AK38" i="45"/>
  <c r="B38" i="45"/>
  <c r="A38" i="45"/>
  <c r="AQ37" i="45"/>
  <c r="AR37" i="45" s="1"/>
  <c r="AT37" i="45" s="1"/>
  <c r="AO37" i="45"/>
  <c r="AP37" i="45" s="1"/>
  <c r="AS37" i="45" s="1"/>
  <c r="AM37" i="45"/>
  <c r="AL37" i="45"/>
  <c r="AK37" i="45"/>
  <c r="B37" i="45"/>
  <c r="A37" i="45"/>
  <c r="AQ36" i="45"/>
  <c r="AR36" i="45" s="1"/>
  <c r="AT36" i="45" s="1"/>
  <c r="AO36" i="45"/>
  <c r="AP36" i="45" s="1"/>
  <c r="AS36" i="45" s="1"/>
  <c r="AM36" i="45"/>
  <c r="AY36" i="45" s="1"/>
  <c r="AL36" i="45"/>
  <c r="AX36" i="45" s="1"/>
  <c r="AK36" i="45"/>
  <c r="AW36" i="45" s="1"/>
  <c r="B36" i="45"/>
  <c r="A36" i="45"/>
  <c r="AQ35" i="45"/>
  <c r="AR35" i="45" s="1"/>
  <c r="AT35" i="45" s="1"/>
  <c r="AO35" i="45"/>
  <c r="AP35" i="45" s="1"/>
  <c r="AS35" i="45" s="1"/>
  <c r="AM35" i="45"/>
  <c r="AY35" i="45" s="1"/>
  <c r="AL35" i="45"/>
  <c r="AK35" i="45"/>
  <c r="B35" i="45"/>
  <c r="A35" i="45"/>
  <c r="AQ34" i="45"/>
  <c r="AR34" i="45" s="1"/>
  <c r="AT34" i="45" s="1"/>
  <c r="AO34" i="45"/>
  <c r="AP34" i="45" s="1"/>
  <c r="AS34" i="45" s="1"/>
  <c r="AM34" i="45"/>
  <c r="AL34" i="45"/>
  <c r="AK34" i="45"/>
  <c r="B34" i="45"/>
  <c r="A34" i="45"/>
  <c r="AQ33" i="45"/>
  <c r="AR33" i="45" s="1"/>
  <c r="AT33" i="45" s="1"/>
  <c r="AO33" i="45"/>
  <c r="AP33" i="45" s="1"/>
  <c r="AS33" i="45" s="1"/>
  <c r="AM33" i="45"/>
  <c r="AY33" i="45" s="1"/>
  <c r="AL33" i="45"/>
  <c r="AX33" i="45" s="1"/>
  <c r="AK33" i="45"/>
  <c r="B33" i="45"/>
  <c r="A33" i="45"/>
  <c r="AQ32" i="45"/>
  <c r="AR32" i="45" s="1"/>
  <c r="AT32" i="45" s="1"/>
  <c r="AO32" i="45"/>
  <c r="AP32" i="45" s="1"/>
  <c r="AS32" i="45" s="1"/>
  <c r="AM32" i="45"/>
  <c r="AY32" i="45" s="1"/>
  <c r="AL32" i="45"/>
  <c r="AK32" i="45"/>
  <c r="B32" i="45"/>
  <c r="A32" i="45"/>
  <c r="AQ31" i="45"/>
  <c r="AR31" i="45" s="1"/>
  <c r="AT31" i="45" s="1"/>
  <c r="AO31" i="45"/>
  <c r="AP31" i="45" s="1"/>
  <c r="AS31" i="45" s="1"/>
  <c r="AM31" i="45"/>
  <c r="AL31" i="45"/>
  <c r="AK31" i="45"/>
  <c r="B31" i="45"/>
  <c r="A31" i="45"/>
  <c r="AQ30" i="45"/>
  <c r="AR30" i="45" s="1"/>
  <c r="AT30" i="45" s="1"/>
  <c r="AO30" i="45"/>
  <c r="AP30" i="45" s="1"/>
  <c r="AS30" i="45" s="1"/>
  <c r="AM30" i="45"/>
  <c r="AY30" i="45" s="1"/>
  <c r="AL30" i="45"/>
  <c r="AX30" i="45" s="1"/>
  <c r="AK30" i="45"/>
  <c r="AW30" i="45" s="1"/>
  <c r="B30" i="45"/>
  <c r="A30" i="45"/>
  <c r="AQ29" i="45"/>
  <c r="AR29" i="45" s="1"/>
  <c r="AT29" i="45" s="1"/>
  <c r="AO29" i="45"/>
  <c r="AP29" i="45" s="1"/>
  <c r="AS29" i="45" s="1"/>
  <c r="AM29" i="45"/>
  <c r="AY29" i="45" s="1"/>
  <c r="AL29" i="45"/>
  <c r="AK29" i="45"/>
  <c r="B29" i="45"/>
  <c r="A29" i="45"/>
  <c r="AQ28" i="45"/>
  <c r="AR28" i="45" s="1"/>
  <c r="AT28" i="45" s="1"/>
  <c r="AO28" i="45"/>
  <c r="AP28" i="45" s="1"/>
  <c r="AS28" i="45" s="1"/>
  <c r="AM28" i="45"/>
  <c r="AL28" i="45"/>
  <c r="AK28" i="45"/>
  <c r="B28" i="45"/>
  <c r="A28" i="45"/>
  <c r="AQ27" i="45"/>
  <c r="AR27" i="45" s="1"/>
  <c r="AT27" i="45" s="1"/>
  <c r="AO27" i="45"/>
  <c r="AP27" i="45" s="1"/>
  <c r="AS27" i="45" s="1"/>
  <c r="AM27" i="45"/>
  <c r="AY27" i="45" s="1"/>
  <c r="AL27" i="45"/>
  <c r="AX27" i="45" s="1"/>
  <c r="AK27" i="45"/>
  <c r="B27" i="45"/>
  <c r="A27" i="45"/>
  <c r="AQ26" i="45"/>
  <c r="AR26" i="45" s="1"/>
  <c r="AT26" i="45" s="1"/>
  <c r="AO26" i="45"/>
  <c r="AP26" i="45" s="1"/>
  <c r="AS26" i="45" s="1"/>
  <c r="AM26" i="45"/>
  <c r="AY26" i="45" s="1"/>
  <c r="AL26" i="45"/>
  <c r="AK26" i="45"/>
  <c r="B26" i="45"/>
  <c r="A26" i="45"/>
  <c r="AQ25" i="45"/>
  <c r="AR25" i="45" s="1"/>
  <c r="AT25" i="45" s="1"/>
  <c r="AO25" i="45"/>
  <c r="AP25" i="45" s="1"/>
  <c r="AS25" i="45" s="1"/>
  <c r="AM25" i="45"/>
  <c r="AL25" i="45"/>
  <c r="AK25" i="45"/>
  <c r="B25" i="45"/>
  <c r="A25" i="45"/>
  <c r="AQ24" i="45"/>
  <c r="AR24" i="45" s="1"/>
  <c r="AT24" i="45" s="1"/>
  <c r="AO24" i="45"/>
  <c r="AP24" i="45" s="1"/>
  <c r="AS24" i="45" s="1"/>
  <c r="AM24" i="45"/>
  <c r="AY24" i="45" s="1"/>
  <c r="AL24" i="45"/>
  <c r="AX24" i="45" s="1"/>
  <c r="AK24" i="45"/>
  <c r="B24" i="45"/>
  <c r="A24" i="45"/>
  <c r="AQ23" i="45"/>
  <c r="AR23" i="45" s="1"/>
  <c r="AT23" i="45" s="1"/>
  <c r="AO23" i="45"/>
  <c r="AP23" i="45" s="1"/>
  <c r="AS23" i="45" s="1"/>
  <c r="AM23" i="45"/>
  <c r="AY23" i="45" s="1"/>
  <c r="AL23" i="45"/>
  <c r="AK23" i="45"/>
  <c r="B23" i="45"/>
  <c r="A23" i="45"/>
  <c r="AQ22" i="45"/>
  <c r="AR22" i="45" s="1"/>
  <c r="AT22" i="45" s="1"/>
  <c r="AO22" i="45"/>
  <c r="AP22" i="45" s="1"/>
  <c r="AS22" i="45" s="1"/>
  <c r="AM22" i="45"/>
  <c r="AL22" i="45"/>
  <c r="AK22" i="45"/>
  <c r="B22" i="45"/>
  <c r="A22" i="45"/>
  <c r="AQ21" i="45"/>
  <c r="AR21" i="45" s="1"/>
  <c r="AT21" i="45" s="1"/>
  <c r="AO21" i="45"/>
  <c r="AP21" i="45" s="1"/>
  <c r="AS21" i="45" s="1"/>
  <c r="AM21" i="45"/>
  <c r="AY21" i="45" s="1"/>
  <c r="AL21" i="45"/>
  <c r="AX21" i="45" s="1"/>
  <c r="AK21" i="45"/>
  <c r="B21" i="45"/>
  <c r="A21" i="45"/>
  <c r="AQ20" i="45"/>
  <c r="AR20" i="45" s="1"/>
  <c r="AT20" i="45" s="1"/>
  <c r="AO20" i="45"/>
  <c r="AP20" i="45" s="1"/>
  <c r="AS20" i="45" s="1"/>
  <c r="AM20" i="45"/>
  <c r="AY20" i="45" s="1"/>
  <c r="AL20" i="45"/>
  <c r="AK20" i="45"/>
  <c r="B20" i="45"/>
  <c r="A20" i="45"/>
  <c r="AQ19" i="45"/>
  <c r="AR19" i="45" s="1"/>
  <c r="AT19" i="45" s="1"/>
  <c r="AO19" i="45"/>
  <c r="AP19" i="45" s="1"/>
  <c r="AS19" i="45" s="1"/>
  <c r="AM19" i="45"/>
  <c r="AL19" i="45"/>
  <c r="AK19" i="45"/>
  <c r="B19" i="45"/>
  <c r="A19" i="45"/>
  <c r="AQ18" i="45"/>
  <c r="AR18" i="45" s="1"/>
  <c r="AT18" i="45" s="1"/>
  <c r="AO18" i="45"/>
  <c r="AP18" i="45" s="1"/>
  <c r="AS18" i="45" s="1"/>
  <c r="AM18" i="45"/>
  <c r="AY18" i="45" s="1"/>
  <c r="AL18" i="45"/>
  <c r="AX18" i="45" s="1"/>
  <c r="AK18" i="45"/>
  <c r="B18" i="45"/>
  <c r="A18" i="45"/>
  <c r="AQ17" i="45"/>
  <c r="AR17" i="45" s="1"/>
  <c r="AT17" i="45" s="1"/>
  <c r="AO17" i="45"/>
  <c r="AP17" i="45" s="1"/>
  <c r="AS17" i="45" s="1"/>
  <c r="AM17" i="45"/>
  <c r="AY17" i="45" s="1"/>
  <c r="AL17" i="45"/>
  <c r="AK17" i="45"/>
  <c r="B17" i="45"/>
  <c r="A17" i="45"/>
  <c r="AQ16" i="45"/>
  <c r="AR16" i="45" s="1"/>
  <c r="AT16" i="45" s="1"/>
  <c r="AO16" i="45"/>
  <c r="AP16" i="45" s="1"/>
  <c r="AS16" i="45" s="1"/>
  <c r="AM16" i="45"/>
  <c r="AL16" i="45"/>
  <c r="AK16" i="45"/>
  <c r="B16" i="45"/>
  <c r="A16" i="45"/>
  <c r="AQ15" i="45"/>
  <c r="AR15" i="45" s="1"/>
  <c r="AT15" i="45" s="1"/>
  <c r="AO15" i="45"/>
  <c r="AP15" i="45" s="1"/>
  <c r="AS15" i="45" s="1"/>
  <c r="AM15" i="45"/>
  <c r="AY15" i="45" s="1"/>
  <c r="AL15" i="45"/>
  <c r="AX15" i="45" s="1"/>
  <c r="AK15" i="45"/>
  <c r="AW15" i="45" s="1"/>
  <c r="B15" i="45"/>
  <c r="A15" i="45"/>
  <c r="AQ14" i="45"/>
  <c r="AR14" i="45" s="1"/>
  <c r="AT14" i="45" s="1"/>
  <c r="AO14" i="45"/>
  <c r="AP14" i="45" s="1"/>
  <c r="AS14" i="45" s="1"/>
  <c r="AM14" i="45"/>
  <c r="AY14" i="45" s="1"/>
  <c r="AL14" i="45"/>
  <c r="AK14" i="45"/>
  <c r="B14" i="45"/>
  <c r="A14" i="45"/>
  <c r="AQ13" i="45"/>
  <c r="AR13" i="45" s="1"/>
  <c r="AT13" i="45" s="1"/>
  <c r="AO13" i="45"/>
  <c r="AP13" i="45" s="1"/>
  <c r="AS13" i="45" s="1"/>
  <c r="AM13" i="45"/>
  <c r="AL13" i="45"/>
  <c r="AK13" i="45"/>
  <c r="B13" i="45"/>
  <c r="A13" i="45"/>
  <c r="AQ12" i="45"/>
  <c r="AR12" i="45" s="1"/>
  <c r="AT12" i="45" s="1"/>
  <c r="AO12" i="45"/>
  <c r="AP12" i="45" s="1"/>
  <c r="AS12" i="45" s="1"/>
  <c r="AM12" i="45"/>
  <c r="AY12" i="45" s="1"/>
  <c r="AL12" i="45"/>
  <c r="AX12" i="45" s="1"/>
  <c r="AK12" i="45"/>
  <c r="AW12" i="45" s="1"/>
  <c r="B12" i="45"/>
  <c r="A12" i="45"/>
  <c r="AQ11" i="45"/>
  <c r="AR11" i="45" s="1"/>
  <c r="AT11" i="45" s="1"/>
  <c r="AO11" i="45"/>
  <c r="AP11" i="45" s="1"/>
  <c r="AS11" i="45" s="1"/>
  <c r="AM11" i="45"/>
  <c r="AY11" i="45" s="1"/>
  <c r="AL11" i="45"/>
  <c r="AK11" i="45"/>
  <c r="B11" i="45"/>
  <c r="A11" i="45"/>
  <c r="AQ10" i="45"/>
  <c r="AR10" i="45" s="1"/>
  <c r="AT10" i="45" s="1"/>
  <c r="AO10" i="45"/>
  <c r="AM10" i="45"/>
  <c r="AL10" i="45"/>
  <c r="AK10" i="45"/>
  <c r="B10" i="45"/>
  <c r="A10" i="45"/>
  <c r="AQ9" i="45"/>
  <c r="AO9" i="45"/>
  <c r="AM9" i="45"/>
  <c r="AY9" i="45" s="1"/>
  <c r="AL9" i="45"/>
  <c r="AX9" i="45" s="1"/>
  <c r="AK9" i="45"/>
  <c r="B9" i="45"/>
  <c r="A9" i="45"/>
  <c r="AY8" i="45"/>
  <c r="AX8" i="45"/>
  <c r="AW8" i="45"/>
  <c r="AM7" i="45"/>
  <c r="AI7" i="45"/>
  <c r="W7" i="45"/>
  <c r="AL7" i="45" s="1"/>
  <c r="C7" i="45"/>
  <c r="AK7" i="45" s="1"/>
  <c r="BB5" i="45"/>
  <c r="BA5" i="45"/>
  <c r="AZ5" i="45"/>
  <c r="BB4" i="45"/>
  <c r="BA4" i="45"/>
  <c r="AZ4" i="45"/>
  <c r="AQ68" i="44"/>
  <c r="AR68" i="44" s="1"/>
  <c r="AT68" i="44" s="1"/>
  <c r="AO68" i="44"/>
  <c r="AP68" i="44" s="1"/>
  <c r="AS68" i="44" s="1"/>
  <c r="AM68" i="44"/>
  <c r="AL68" i="44"/>
  <c r="AK68" i="44"/>
  <c r="B68" i="44"/>
  <c r="A68" i="44"/>
  <c r="AQ67" i="44"/>
  <c r="AR67" i="44" s="1"/>
  <c r="AT67" i="44" s="1"/>
  <c r="AO67" i="44"/>
  <c r="AP67" i="44" s="1"/>
  <c r="AS67" i="44" s="1"/>
  <c r="AM67" i="44"/>
  <c r="AL67" i="44"/>
  <c r="AK67" i="44"/>
  <c r="B67" i="44"/>
  <c r="A67" i="44"/>
  <c r="AQ66" i="44"/>
  <c r="AR66" i="44" s="1"/>
  <c r="AT66" i="44" s="1"/>
  <c r="AO66" i="44"/>
  <c r="AP66" i="44" s="1"/>
  <c r="AS66" i="44" s="1"/>
  <c r="AM66" i="44"/>
  <c r="AY66" i="44" s="1"/>
  <c r="AL66" i="44"/>
  <c r="AX66" i="44" s="1"/>
  <c r="AK66" i="44"/>
  <c r="AW66" i="44" s="1"/>
  <c r="B66" i="44"/>
  <c r="A66" i="44"/>
  <c r="AQ65" i="44"/>
  <c r="AR65" i="44" s="1"/>
  <c r="AT65" i="44" s="1"/>
  <c r="AO65" i="44"/>
  <c r="AP65" i="44" s="1"/>
  <c r="AS65" i="44" s="1"/>
  <c r="AM65" i="44"/>
  <c r="AL65" i="44"/>
  <c r="AK65" i="44"/>
  <c r="B65" i="44"/>
  <c r="A65" i="44"/>
  <c r="AQ64" i="44"/>
  <c r="AR64" i="44" s="1"/>
  <c r="AT64" i="44" s="1"/>
  <c r="AO64" i="44"/>
  <c r="AP64" i="44" s="1"/>
  <c r="AS64" i="44" s="1"/>
  <c r="AM64" i="44"/>
  <c r="AL64" i="44"/>
  <c r="AK64" i="44"/>
  <c r="B64" i="44"/>
  <c r="A64" i="44"/>
  <c r="AQ63" i="44"/>
  <c r="AR63" i="44" s="1"/>
  <c r="AT63" i="44" s="1"/>
  <c r="AO63" i="44"/>
  <c r="AP63" i="44" s="1"/>
  <c r="AS63" i="44" s="1"/>
  <c r="AM63" i="44"/>
  <c r="AL63" i="44"/>
  <c r="AX63" i="44" s="1"/>
  <c r="AK63" i="44"/>
  <c r="AW63" i="44" s="1"/>
  <c r="B63" i="44"/>
  <c r="A63" i="44"/>
  <c r="AQ62" i="44"/>
  <c r="AR62" i="44" s="1"/>
  <c r="AT62" i="44" s="1"/>
  <c r="AO62" i="44"/>
  <c r="AP62" i="44" s="1"/>
  <c r="AS62" i="44" s="1"/>
  <c r="AM62" i="44"/>
  <c r="AL62" i="44"/>
  <c r="AK62" i="44"/>
  <c r="AW62" i="44" s="1"/>
  <c r="B62" i="44"/>
  <c r="A62" i="44"/>
  <c r="AQ61" i="44"/>
  <c r="AR61" i="44" s="1"/>
  <c r="AT61" i="44" s="1"/>
  <c r="AO61" i="44"/>
  <c r="AP61" i="44" s="1"/>
  <c r="AS61" i="44" s="1"/>
  <c r="AM61" i="44"/>
  <c r="AL61" i="44"/>
  <c r="AK61" i="44"/>
  <c r="B61" i="44"/>
  <c r="A61" i="44"/>
  <c r="AQ60" i="44"/>
  <c r="AR60" i="44" s="1"/>
  <c r="AT60" i="44" s="1"/>
  <c r="AO60" i="44"/>
  <c r="AP60" i="44" s="1"/>
  <c r="AS60" i="44" s="1"/>
  <c r="AM60" i="44"/>
  <c r="AY60" i="44" s="1"/>
  <c r="AL60" i="44"/>
  <c r="AK60" i="44"/>
  <c r="AW60" i="44" s="1"/>
  <c r="B60" i="44"/>
  <c r="A60" i="44"/>
  <c r="AQ59" i="44"/>
  <c r="AR59" i="44" s="1"/>
  <c r="AT59" i="44" s="1"/>
  <c r="AO59" i="44"/>
  <c r="AP59" i="44" s="1"/>
  <c r="AS59" i="44" s="1"/>
  <c r="AM59" i="44"/>
  <c r="AL59" i="44"/>
  <c r="AK59" i="44"/>
  <c r="AW59" i="44" s="1"/>
  <c r="B59" i="44"/>
  <c r="A59" i="44"/>
  <c r="AQ58" i="44"/>
  <c r="AR58" i="44" s="1"/>
  <c r="AT58" i="44" s="1"/>
  <c r="AO58" i="44"/>
  <c r="AP58" i="44" s="1"/>
  <c r="AS58" i="44" s="1"/>
  <c r="AM58" i="44"/>
  <c r="AL58" i="44"/>
  <c r="AK58" i="44"/>
  <c r="AW58" i="44" s="1"/>
  <c r="B58" i="44"/>
  <c r="A58" i="44"/>
  <c r="AQ57" i="44"/>
  <c r="AR57" i="44" s="1"/>
  <c r="AT57" i="44" s="1"/>
  <c r="AO57" i="44"/>
  <c r="AP57" i="44" s="1"/>
  <c r="AS57" i="44" s="1"/>
  <c r="AM57" i="44"/>
  <c r="AY57" i="44" s="1"/>
  <c r="AL57" i="44"/>
  <c r="AX57" i="44" s="1"/>
  <c r="AK57" i="44"/>
  <c r="B57" i="44"/>
  <c r="A57" i="44"/>
  <c r="AQ56" i="44"/>
  <c r="AR56" i="44" s="1"/>
  <c r="AT56" i="44" s="1"/>
  <c r="AO56" i="44"/>
  <c r="AP56" i="44" s="1"/>
  <c r="AS56" i="44" s="1"/>
  <c r="AM56" i="44"/>
  <c r="AL56" i="44"/>
  <c r="AK56" i="44"/>
  <c r="B56" i="44"/>
  <c r="A56" i="44"/>
  <c r="AQ55" i="44"/>
  <c r="AR55" i="44" s="1"/>
  <c r="AT55" i="44" s="1"/>
  <c r="AO55" i="44"/>
  <c r="AP55" i="44" s="1"/>
  <c r="AS55" i="44" s="1"/>
  <c r="AM55" i="44"/>
  <c r="AL55" i="44"/>
  <c r="AK55" i="44"/>
  <c r="B55" i="44"/>
  <c r="A55" i="44"/>
  <c r="AQ54" i="44"/>
  <c r="AR54" i="44" s="1"/>
  <c r="AT54" i="44" s="1"/>
  <c r="AO54" i="44"/>
  <c r="AP54" i="44" s="1"/>
  <c r="AS54" i="44" s="1"/>
  <c r="AM54" i="44"/>
  <c r="AY54" i="44" s="1"/>
  <c r="AL54" i="44"/>
  <c r="AX54" i="44" s="1"/>
  <c r="AK54" i="44"/>
  <c r="AW54" i="44" s="1"/>
  <c r="B54" i="44"/>
  <c r="A54" i="44"/>
  <c r="AQ53" i="44"/>
  <c r="AR53" i="44" s="1"/>
  <c r="AT53" i="44" s="1"/>
  <c r="AO53" i="44"/>
  <c r="AP53" i="44" s="1"/>
  <c r="AS53" i="44" s="1"/>
  <c r="AM53" i="44"/>
  <c r="AL53" i="44"/>
  <c r="AK53" i="44"/>
  <c r="B53" i="44"/>
  <c r="A53" i="44"/>
  <c r="AQ52" i="44"/>
  <c r="AR52" i="44" s="1"/>
  <c r="AT52" i="44" s="1"/>
  <c r="AO52" i="44"/>
  <c r="AP52" i="44" s="1"/>
  <c r="AS52" i="44" s="1"/>
  <c r="AM52" i="44"/>
  <c r="AL52" i="44"/>
  <c r="AK52" i="44"/>
  <c r="B52" i="44"/>
  <c r="A52" i="44"/>
  <c r="AQ51" i="44"/>
  <c r="AR51" i="44" s="1"/>
  <c r="AT51" i="44" s="1"/>
  <c r="AO51" i="44"/>
  <c r="AP51" i="44" s="1"/>
  <c r="AS51" i="44" s="1"/>
  <c r="AM51" i="44"/>
  <c r="AY51" i="44" s="1"/>
  <c r="AL51" i="44"/>
  <c r="AX51" i="44" s="1"/>
  <c r="AK51" i="44"/>
  <c r="AW51" i="44" s="1"/>
  <c r="B51" i="44"/>
  <c r="A51" i="44"/>
  <c r="AQ50" i="44"/>
  <c r="AR50" i="44" s="1"/>
  <c r="AT50" i="44" s="1"/>
  <c r="AO50" i="44"/>
  <c r="AP50" i="44" s="1"/>
  <c r="AS50" i="44" s="1"/>
  <c r="AM50" i="44"/>
  <c r="AL50" i="44"/>
  <c r="AK50" i="44"/>
  <c r="B50" i="44"/>
  <c r="A50" i="44"/>
  <c r="AQ49" i="44"/>
  <c r="AR49" i="44" s="1"/>
  <c r="AT49" i="44" s="1"/>
  <c r="AO49" i="44"/>
  <c r="AP49" i="44" s="1"/>
  <c r="AS49" i="44" s="1"/>
  <c r="AM49" i="44"/>
  <c r="AL49" i="44"/>
  <c r="AK49" i="44"/>
  <c r="B49" i="44"/>
  <c r="A49" i="44"/>
  <c r="AQ48" i="44"/>
  <c r="AR48" i="44" s="1"/>
  <c r="AT48" i="44" s="1"/>
  <c r="AO48" i="44"/>
  <c r="AP48" i="44" s="1"/>
  <c r="AS48" i="44" s="1"/>
  <c r="AM48" i="44"/>
  <c r="AL48" i="44"/>
  <c r="AK48" i="44"/>
  <c r="B48" i="44"/>
  <c r="A48" i="44"/>
  <c r="AQ47" i="44"/>
  <c r="AR47" i="44" s="1"/>
  <c r="AT47" i="44" s="1"/>
  <c r="AO47" i="44"/>
  <c r="AP47" i="44" s="1"/>
  <c r="AS47" i="44" s="1"/>
  <c r="AM47" i="44"/>
  <c r="AL47" i="44"/>
  <c r="AK47" i="44"/>
  <c r="B47" i="44"/>
  <c r="A47" i="44"/>
  <c r="AQ46" i="44"/>
  <c r="AR46" i="44" s="1"/>
  <c r="AT46" i="44" s="1"/>
  <c r="AO46" i="44"/>
  <c r="AP46" i="44" s="1"/>
  <c r="AS46" i="44" s="1"/>
  <c r="AM46" i="44"/>
  <c r="AL46" i="44"/>
  <c r="AK46" i="44"/>
  <c r="B46" i="44"/>
  <c r="A46" i="44"/>
  <c r="AQ45" i="44"/>
  <c r="AR45" i="44" s="1"/>
  <c r="AT45" i="44" s="1"/>
  <c r="AO45" i="44"/>
  <c r="AP45" i="44" s="1"/>
  <c r="AS45" i="44" s="1"/>
  <c r="AM45" i="44"/>
  <c r="AY45" i="44" s="1"/>
  <c r="AL45" i="44"/>
  <c r="AK45" i="44"/>
  <c r="B45" i="44"/>
  <c r="A45" i="44"/>
  <c r="AQ44" i="44"/>
  <c r="AR44" i="44" s="1"/>
  <c r="AT44" i="44" s="1"/>
  <c r="AO44" i="44"/>
  <c r="AP44" i="44" s="1"/>
  <c r="AS44" i="44" s="1"/>
  <c r="AM44" i="44"/>
  <c r="AY44" i="44" s="1"/>
  <c r="AL44" i="44"/>
  <c r="AK44" i="44"/>
  <c r="B44" i="44"/>
  <c r="A44" i="44"/>
  <c r="AQ43" i="44"/>
  <c r="AR43" i="44" s="1"/>
  <c r="AT43" i="44" s="1"/>
  <c r="AO43" i="44"/>
  <c r="AP43" i="44" s="1"/>
  <c r="AS43" i="44" s="1"/>
  <c r="AM43" i="44"/>
  <c r="AY43" i="44" s="1"/>
  <c r="AL43" i="44"/>
  <c r="AK43" i="44"/>
  <c r="B43" i="44"/>
  <c r="A43" i="44"/>
  <c r="AQ42" i="44"/>
  <c r="AR42" i="44" s="1"/>
  <c r="AT42" i="44" s="1"/>
  <c r="AO42" i="44"/>
  <c r="AP42" i="44" s="1"/>
  <c r="AS42" i="44" s="1"/>
  <c r="AM42" i="44"/>
  <c r="AY42" i="44" s="1"/>
  <c r="AL42" i="44"/>
  <c r="AX42" i="44" s="1"/>
  <c r="AK42" i="44"/>
  <c r="B42" i="44"/>
  <c r="A42" i="44"/>
  <c r="AQ41" i="44"/>
  <c r="AR41" i="44" s="1"/>
  <c r="AT41" i="44" s="1"/>
  <c r="AO41" i="44"/>
  <c r="AP41" i="44" s="1"/>
  <c r="AS41" i="44" s="1"/>
  <c r="AM41" i="44"/>
  <c r="AY41" i="44" s="1"/>
  <c r="AL41" i="44"/>
  <c r="AK41" i="44"/>
  <c r="B41" i="44"/>
  <c r="A41" i="44"/>
  <c r="AQ40" i="44"/>
  <c r="AR40" i="44" s="1"/>
  <c r="AT40" i="44" s="1"/>
  <c r="AO40" i="44"/>
  <c r="AP40" i="44" s="1"/>
  <c r="AS40" i="44" s="1"/>
  <c r="AM40" i="44"/>
  <c r="AY40" i="44" s="1"/>
  <c r="AL40" i="44"/>
  <c r="AX40" i="44" s="1"/>
  <c r="AK40" i="44"/>
  <c r="B40" i="44"/>
  <c r="A40" i="44"/>
  <c r="AQ39" i="44"/>
  <c r="AR39" i="44" s="1"/>
  <c r="AT39" i="44" s="1"/>
  <c r="AO39" i="44"/>
  <c r="AP39" i="44" s="1"/>
  <c r="AS39" i="44" s="1"/>
  <c r="AM39" i="44"/>
  <c r="AY39" i="44" s="1"/>
  <c r="AL39" i="44"/>
  <c r="AX39" i="44" s="1"/>
  <c r="AK39" i="44"/>
  <c r="B39" i="44"/>
  <c r="A39" i="44"/>
  <c r="AQ38" i="44"/>
  <c r="AR38" i="44" s="1"/>
  <c r="AT38" i="44" s="1"/>
  <c r="AO38" i="44"/>
  <c r="AP38" i="44" s="1"/>
  <c r="AS38" i="44" s="1"/>
  <c r="AM38" i="44"/>
  <c r="AY38" i="44" s="1"/>
  <c r="AL38" i="44"/>
  <c r="AK38" i="44"/>
  <c r="B38" i="44"/>
  <c r="A38" i="44"/>
  <c r="AQ37" i="44"/>
  <c r="AR37" i="44" s="1"/>
  <c r="AT37" i="44" s="1"/>
  <c r="AO37" i="44"/>
  <c r="AP37" i="44" s="1"/>
  <c r="AS37" i="44" s="1"/>
  <c r="AM37" i="44"/>
  <c r="AY37" i="44" s="1"/>
  <c r="AL37" i="44"/>
  <c r="AX37" i="44" s="1"/>
  <c r="AK37" i="44"/>
  <c r="B37" i="44"/>
  <c r="A37" i="44"/>
  <c r="AQ36" i="44"/>
  <c r="AR36" i="44" s="1"/>
  <c r="AT36" i="44" s="1"/>
  <c r="AO36" i="44"/>
  <c r="AP36" i="44" s="1"/>
  <c r="AS36" i="44" s="1"/>
  <c r="AM36" i="44"/>
  <c r="AY36" i="44" s="1"/>
  <c r="AL36" i="44"/>
  <c r="AX36" i="44" s="1"/>
  <c r="AK36" i="44"/>
  <c r="B36" i="44"/>
  <c r="A36" i="44"/>
  <c r="AQ35" i="44"/>
  <c r="AR35" i="44" s="1"/>
  <c r="AT35" i="44" s="1"/>
  <c r="AO35" i="44"/>
  <c r="AP35" i="44" s="1"/>
  <c r="AS35" i="44" s="1"/>
  <c r="AM35" i="44"/>
  <c r="AY35" i="44" s="1"/>
  <c r="AL35" i="44"/>
  <c r="AK35" i="44"/>
  <c r="B35" i="44"/>
  <c r="A35" i="44"/>
  <c r="AQ34" i="44"/>
  <c r="AR34" i="44" s="1"/>
  <c r="AT34" i="44" s="1"/>
  <c r="AO34" i="44"/>
  <c r="AP34" i="44" s="1"/>
  <c r="AS34" i="44" s="1"/>
  <c r="AM34" i="44"/>
  <c r="AY34" i="44" s="1"/>
  <c r="AL34" i="44"/>
  <c r="AX34" i="44" s="1"/>
  <c r="AK34" i="44"/>
  <c r="B34" i="44"/>
  <c r="A34" i="44"/>
  <c r="AQ33" i="44"/>
  <c r="AR33" i="44" s="1"/>
  <c r="AT33" i="44" s="1"/>
  <c r="AO33" i="44"/>
  <c r="AP33" i="44" s="1"/>
  <c r="AS33" i="44" s="1"/>
  <c r="AM33" i="44"/>
  <c r="AY33" i="44" s="1"/>
  <c r="AL33" i="44"/>
  <c r="AX33" i="44" s="1"/>
  <c r="AK33" i="44"/>
  <c r="B33" i="44"/>
  <c r="A33" i="44"/>
  <c r="AQ32" i="44"/>
  <c r="AR32" i="44" s="1"/>
  <c r="AT32" i="44" s="1"/>
  <c r="AO32" i="44"/>
  <c r="AP32" i="44" s="1"/>
  <c r="AS32" i="44" s="1"/>
  <c r="AM32" i="44"/>
  <c r="AL32" i="44"/>
  <c r="AK32" i="44"/>
  <c r="B32" i="44"/>
  <c r="A32" i="44"/>
  <c r="AQ31" i="44"/>
  <c r="AR31" i="44" s="1"/>
  <c r="AT31" i="44" s="1"/>
  <c r="AO31" i="44"/>
  <c r="AP31" i="44" s="1"/>
  <c r="AS31" i="44" s="1"/>
  <c r="AM31" i="44"/>
  <c r="AY31" i="44" s="1"/>
  <c r="AL31" i="44"/>
  <c r="AX31" i="44" s="1"/>
  <c r="AK31" i="44"/>
  <c r="B31" i="44"/>
  <c r="A31" i="44"/>
  <c r="AQ30" i="44"/>
  <c r="AR30" i="44" s="1"/>
  <c r="AT30" i="44" s="1"/>
  <c r="AO30" i="44"/>
  <c r="AP30" i="44" s="1"/>
  <c r="AS30" i="44" s="1"/>
  <c r="AM30" i="44"/>
  <c r="AY30" i="44" s="1"/>
  <c r="AL30" i="44"/>
  <c r="AX30" i="44" s="1"/>
  <c r="AK30" i="44"/>
  <c r="B30" i="44"/>
  <c r="A30" i="44"/>
  <c r="AQ29" i="44"/>
  <c r="AR29" i="44" s="1"/>
  <c r="AT29" i="44" s="1"/>
  <c r="AO29" i="44"/>
  <c r="AP29" i="44" s="1"/>
  <c r="AS29" i="44" s="1"/>
  <c r="AM29" i="44"/>
  <c r="AL29" i="44"/>
  <c r="AK29" i="44"/>
  <c r="B29" i="44"/>
  <c r="A29" i="44"/>
  <c r="AQ28" i="44"/>
  <c r="AR28" i="44" s="1"/>
  <c r="AT28" i="44" s="1"/>
  <c r="AO28" i="44"/>
  <c r="AP28" i="44" s="1"/>
  <c r="AS28" i="44" s="1"/>
  <c r="AM28" i="44"/>
  <c r="AL28" i="44"/>
  <c r="AK28" i="44"/>
  <c r="B28" i="44"/>
  <c r="A28" i="44"/>
  <c r="AQ27" i="44"/>
  <c r="AR27" i="44" s="1"/>
  <c r="AT27" i="44" s="1"/>
  <c r="AO27" i="44"/>
  <c r="AP27" i="44" s="1"/>
  <c r="AS27" i="44" s="1"/>
  <c r="AM27" i="44"/>
  <c r="AY27" i="44" s="1"/>
  <c r="AL27" i="44"/>
  <c r="AX27" i="44" s="1"/>
  <c r="AK27" i="44"/>
  <c r="AW27" i="44" s="1"/>
  <c r="B27" i="44"/>
  <c r="A27" i="44"/>
  <c r="AQ26" i="44"/>
  <c r="AR26" i="44" s="1"/>
  <c r="AT26" i="44" s="1"/>
  <c r="AO26" i="44"/>
  <c r="AP26" i="44" s="1"/>
  <c r="AS26" i="44" s="1"/>
  <c r="AM26" i="44"/>
  <c r="AY26" i="44" s="1"/>
  <c r="AL26" i="44"/>
  <c r="AK26" i="44"/>
  <c r="B26" i="44"/>
  <c r="A26" i="44"/>
  <c r="AQ25" i="44"/>
  <c r="AR25" i="44" s="1"/>
  <c r="AT25" i="44" s="1"/>
  <c r="AO25" i="44"/>
  <c r="AP25" i="44" s="1"/>
  <c r="AS25" i="44" s="1"/>
  <c r="AM25" i="44"/>
  <c r="AY25" i="44" s="1"/>
  <c r="AL25" i="44"/>
  <c r="AX25" i="44" s="1"/>
  <c r="AK25" i="44"/>
  <c r="B25" i="44"/>
  <c r="A25" i="44"/>
  <c r="AQ24" i="44"/>
  <c r="AR24" i="44" s="1"/>
  <c r="AT24" i="44" s="1"/>
  <c r="AO24" i="44"/>
  <c r="AP24" i="44" s="1"/>
  <c r="AS24" i="44" s="1"/>
  <c r="AM24" i="44"/>
  <c r="AY24" i="44" s="1"/>
  <c r="AL24" i="44"/>
  <c r="AX24" i="44" s="1"/>
  <c r="AK24" i="44"/>
  <c r="B24" i="44"/>
  <c r="A24" i="44"/>
  <c r="AQ23" i="44"/>
  <c r="AR23" i="44" s="1"/>
  <c r="AT23" i="44" s="1"/>
  <c r="AO23" i="44"/>
  <c r="AP23" i="44" s="1"/>
  <c r="AS23" i="44" s="1"/>
  <c r="AM23" i="44"/>
  <c r="AY23" i="44" s="1"/>
  <c r="AL23" i="44"/>
  <c r="AK23" i="44"/>
  <c r="B23" i="44"/>
  <c r="A23" i="44"/>
  <c r="AQ22" i="44"/>
  <c r="AR22" i="44" s="1"/>
  <c r="AT22" i="44" s="1"/>
  <c r="AO22" i="44"/>
  <c r="AP22" i="44" s="1"/>
  <c r="AS22" i="44" s="1"/>
  <c r="AM22" i="44"/>
  <c r="AL22" i="44"/>
  <c r="AK22" i="44"/>
  <c r="B22" i="44"/>
  <c r="A22" i="44"/>
  <c r="AQ21" i="44"/>
  <c r="AR21" i="44" s="1"/>
  <c r="AT21" i="44" s="1"/>
  <c r="AO21" i="44"/>
  <c r="AP21" i="44" s="1"/>
  <c r="AS21" i="44" s="1"/>
  <c r="AM21" i="44"/>
  <c r="AL21" i="44"/>
  <c r="AK21" i="44"/>
  <c r="B21" i="44"/>
  <c r="A21" i="44"/>
  <c r="AQ20" i="44"/>
  <c r="AR20" i="44" s="1"/>
  <c r="AT20" i="44" s="1"/>
  <c r="AO20" i="44"/>
  <c r="AP20" i="44" s="1"/>
  <c r="AS20" i="44" s="1"/>
  <c r="AM20" i="44"/>
  <c r="AL20" i="44"/>
  <c r="AK20" i="44"/>
  <c r="B20" i="44"/>
  <c r="A20" i="44"/>
  <c r="AQ19" i="44"/>
  <c r="AR19" i="44" s="1"/>
  <c r="AT19" i="44" s="1"/>
  <c r="AO19" i="44"/>
  <c r="AP19" i="44" s="1"/>
  <c r="AS19" i="44" s="1"/>
  <c r="AM19" i="44"/>
  <c r="AL19" i="44"/>
  <c r="AX19" i="44" s="1"/>
  <c r="AK19" i="44"/>
  <c r="AW19" i="44" s="1"/>
  <c r="B19" i="44"/>
  <c r="A19" i="44"/>
  <c r="AQ18" i="44"/>
  <c r="AR18" i="44" s="1"/>
  <c r="AT18" i="44" s="1"/>
  <c r="AO18" i="44"/>
  <c r="AP18" i="44" s="1"/>
  <c r="AS18" i="44" s="1"/>
  <c r="AM18" i="44"/>
  <c r="AY18" i="44" s="1"/>
  <c r="AL18" i="44"/>
  <c r="AX18" i="44" s="1"/>
  <c r="AK18" i="44"/>
  <c r="AW18" i="44" s="1"/>
  <c r="B18" i="44"/>
  <c r="A18" i="44"/>
  <c r="AQ17" i="44"/>
  <c r="AR17" i="44" s="1"/>
  <c r="AT17" i="44" s="1"/>
  <c r="AO17" i="44"/>
  <c r="AP17" i="44" s="1"/>
  <c r="AS17" i="44" s="1"/>
  <c r="AM17" i="44"/>
  <c r="AY17" i="44" s="1"/>
  <c r="AL17" i="44"/>
  <c r="AK17" i="44"/>
  <c r="B17" i="44"/>
  <c r="A17" i="44"/>
  <c r="AQ16" i="44"/>
  <c r="AR16" i="44" s="1"/>
  <c r="AT16" i="44" s="1"/>
  <c r="AO16" i="44"/>
  <c r="AP16" i="44" s="1"/>
  <c r="AS16" i="44" s="1"/>
  <c r="AM16" i="44"/>
  <c r="AY16" i="44" s="1"/>
  <c r="AL16" i="44"/>
  <c r="AX16" i="44" s="1"/>
  <c r="AK16" i="44"/>
  <c r="B16" i="44"/>
  <c r="A16" i="44"/>
  <c r="AQ15" i="44"/>
  <c r="AR15" i="44" s="1"/>
  <c r="AT15" i="44" s="1"/>
  <c r="AO15" i="44"/>
  <c r="AP15" i="44" s="1"/>
  <c r="AS15" i="44" s="1"/>
  <c r="AM15" i="44"/>
  <c r="AL15" i="44"/>
  <c r="AK15" i="44"/>
  <c r="B15" i="44"/>
  <c r="A15" i="44"/>
  <c r="AQ14" i="44"/>
  <c r="AR14" i="44" s="1"/>
  <c r="AT14" i="44" s="1"/>
  <c r="AO14" i="44"/>
  <c r="AP14" i="44" s="1"/>
  <c r="AS14" i="44" s="1"/>
  <c r="AM14" i="44"/>
  <c r="AL14" i="44"/>
  <c r="AK14" i="44"/>
  <c r="B14" i="44"/>
  <c r="A14" i="44"/>
  <c r="AQ13" i="44"/>
  <c r="AR13" i="44" s="1"/>
  <c r="AT13" i="44" s="1"/>
  <c r="AO13" i="44"/>
  <c r="AP13" i="44" s="1"/>
  <c r="AS13" i="44" s="1"/>
  <c r="AM13" i="44"/>
  <c r="AL13" i="44"/>
  <c r="AK13" i="44"/>
  <c r="B13" i="44"/>
  <c r="A13" i="44"/>
  <c r="AQ12" i="44"/>
  <c r="AR12" i="44" s="1"/>
  <c r="AT12" i="44" s="1"/>
  <c r="AO12" i="44"/>
  <c r="AP12" i="44" s="1"/>
  <c r="AS12" i="44" s="1"/>
  <c r="AM12" i="44"/>
  <c r="AY12" i="44" s="1"/>
  <c r="AL12" i="44"/>
  <c r="AX12" i="44" s="1"/>
  <c r="AK12" i="44"/>
  <c r="AW12" i="44" s="1"/>
  <c r="B12" i="44"/>
  <c r="A12" i="44"/>
  <c r="AQ11" i="44"/>
  <c r="AR11" i="44" s="1"/>
  <c r="AT11" i="44" s="1"/>
  <c r="AO11" i="44"/>
  <c r="AP11" i="44" s="1"/>
  <c r="AS11" i="44" s="1"/>
  <c r="AM11" i="44"/>
  <c r="AL11" i="44"/>
  <c r="AX11" i="44" s="1"/>
  <c r="AK11" i="44"/>
  <c r="B11" i="44"/>
  <c r="A11" i="44"/>
  <c r="AQ10" i="44"/>
  <c r="AR10" i="44" s="1"/>
  <c r="AT10" i="44" s="1"/>
  <c r="AO10" i="44"/>
  <c r="AP10" i="44" s="1"/>
  <c r="AS10" i="44" s="1"/>
  <c r="AM10" i="44"/>
  <c r="AY10" i="44" s="1"/>
  <c r="AL10" i="44"/>
  <c r="AX10" i="44" s="1"/>
  <c r="AK10" i="44"/>
  <c r="B10" i="44"/>
  <c r="A10" i="44"/>
  <c r="AQ9" i="44"/>
  <c r="AR9" i="44" s="1"/>
  <c r="AT9" i="44" s="1"/>
  <c r="AO9" i="44"/>
  <c r="AP9" i="44" s="1"/>
  <c r="AS9" i="44" s="1"/>
  <c r="AM9" i="44"/>
  <c r="AY9" i="44" s="1"/>
  <c r="AL9" i="44"/>
  <c r="AX9" i="44" s="1"/>
  <c r="AK9" i="44"/>
  <c r="B9" i="44"/>
  <c r="A9" i="44"/>
  <c r="AY8" i="44"/>
  <c r="AX8" i="44"/>
  <c r="AW8" i="44"/>
  <c r="AI7" i="44"/>
  <c r="AM7" i="44" s="1"/>
  <c r="W7" i="44"/>
  <c r="AL7" i="44" s="1"/>
  <c r="C7" i="44"/>
  <c r="AK7" i="44" s="1"/>
  <c r="BB5" i="44"/>
  <c r="BA5" i="44"/>
  <c r="AZ5" i="44"/>
  <c r="BC5" i="44" s="1"/>
  <c r="BB4" i="44"/>
  <c r="BA4" i="44"/>
  <c r="AZ4" i="44"/>
  <c r="AQ68" i="43"/>
  <c r="AR68" i="43" s="1"/>
  <c r="AT68" i="43" s="1"/>
  <c r="AO68" i="43"/>
  <c r="AP68" i="43" s="1"/>
  <c r="AS68" i="43" s="1"/>
  <c r="AM68" i="43"/>
  <c r="AL68" i="43"/>
  <c r="AK68" i="43"/>
  <c r="B68" i="43"/>
  <c r="A68" i="43"/>
  <c r="AQ67" i="43"/>
  <c r="AR67" i="43" s="1"/>
  <c r="AT67" i="43" s="1"/>
  <c r="AO67" i="43"/>
  <c r="AP67" i="43" s="1"/>
  <c r="AS67" i="43" s="1"/>
  <c r="AM67" i="43"/>
  <c r="AL67" i="43"/>
  <c r="AK67" i="43"/>
  <c r="AW67" i="43" s="1"/>
  <c r="B67" i="43"/>
  <c r="A67" i="43"/>
  <c r="AQ66" i="43"/>
  <c r="AR66" i="43" s="1"/>
  <c r="AT66" i="43" s="1"/>
  <c r="AO66" i="43"/>
  <c r="AP66" i="43" s="1"/>
  <c r="AS66" i="43" s="1"/>
  <c r="AM66" i="43"/>
  <c r="AY66" i="43" s="1"/>
  <c r="AL66" i="43"/>
  <c r="AK66" i="43"/>
  <c r="AW66" i="43" s="1"/>
  <c r="B66" i="43"/>
  <c r="A66" i="43"/>
  <c r="AQ65" i="43"/>
  <c r="AR65" i="43" s="1"/>
  <c r="AT65" i="43" s="1"/>
  <c r="AO65" i="43"/>
  <c r="AP65" i="43" s="1"/>
  <c r="AS65" i="43" s="1"/>
  <c r="AM65" i="43"/>
  <c r="AL65" i="43"/>
  <c r="AK65" i="43"/>
  <c r="B65" i="43"/>
  <c r="A65" i="43"/>
  <c r="AQ64" i="43"/>
  <c r="AR64" i="43" s="1"/>
  <c r="AT64" i="43" s="1"/>
  <c r="AO64" i="43"/>
  <c r="AP64" i="43" s="1"/>
  <c r="AS64" i="43" s="1"/>
  <c r="AM64" i="43"/>
  <c r="AL64" i="43"/>
  <c r="AK64" i="43"/>
  <c r="AW64" i="43" s="1"/>
  <c r="B64" i="43"/>
  <c r="A64" i="43"/>
  <c r="AQ63" i="43"/>
  <c r="AR63" i="43" s="1"/>
  <c r="AT63" i="43" s="1"/>
  <c r="AO63" i="43"/>
  <c r="AP63" i="43" s="1"/>
  <c r="AS63" i="43" s="1"/>
  <c r="AM63" i="43"/>
  <c r="AL63" i="43"/>
  <c r="AK63" i="43"/>
  <c r="B63" i="43"/>
  <c r="A63" i="43"/>
  <c r="AQ62" i="43"/>
  <c r="AR62" i="43" s="1"/>
  <c r="AT62" i="43" s="1"/>
  <c r="AO62" i="43"/>
  <c r="AP62" i="43" s="1"/>
  <c r="AS62" i="43" s="1"/>
  <c r="AM62" i="43"/>
  <c r="AL62" i="43"/>
  <c r="AK62" i="43"/>
  <c r="B62" i="43"/>
  <c r="A62" i="43"/>
  <c r="AQ61" i="43"/>
  <c r="AR61" i="43" s="1"/>
  <c r="AT61" i="43" s="1"/>
  <c r="AO61" i="43"/>
  <c r="AP61" i="43" s="1"/>
  <c r="AS61" i="43" s="1"/>
  <c r="AM61" i="43"/>
  <c r="AL61" i="43"/>
  <c r="AK61" i="43"/>
  <c r="B61" i="43"/>
  <c r="A61" i="43"/>
  <c r="AQ60" i="43"/>
  <c r="AR60" i="43" s="1"/>
  <c r="AT60" i="43" s="1"/>
  <c r="AO60" i="43"/>
  <c r="AP60" i="43" s="1"/>
  <c r="AS60" i="43" s="1"/>
  <c r="AM60" i="43"/>
  <c r="AL60" i="43"/>
  <c r="AK60" i="43"/>
  <c r="AW60" i="43" s="1"/>
  <c r="B60" i="43"/>
  <c r="A60" i="43"/>
  <c r="AQ59" i="43"/>
  <c r="AR59" i="43" s="1"/>
  <c r="AT59" i="43" s="1"/>
  <c r="AO59" i="43"/>
  <c r="AP59" i="43" s="1"/>
  <c r="AS59" i="43" s="1"/>
  <c r="AM59" i="43"/>
  <c r="AL59" i="43"/>
  <c r="AK59" i="43"/>
  <c r="B59" i="43"/>
  <c r="A59" i="43"/>
  <c r="AQ58" i="43"/>
  <c r="AR58" i="43" s="1"/>
  <c r="AT58" i="43" s="1"/>
  <c r="AO58" i="43"/>
  <c r="AP58" i="43" s="1"/>
  <c r="AS58" i="43" s="1"/>
  <c r="AM58" i="43"/>
  <c r="AL58" i="43"/>
  <c r="AK58" i="43"/>
  <c r="B58" i="43"/>
  <c r="A58" i="43"/>
  <c r="AQ57" i="43"/>
  <c r="AR57" i="43" s="1"/>
  <c r="AT57" i="43" s="1"/>
  <c r="AO57" i="43"/>
  <c r="AP57" i="43" s="1"/>
  <c r="AS57" i="43" s="1"/>
  <c r="AM57" i="43"/>
  <c r="AY57" i="43" s="1"/>
  <c r="AL57" i="43"/>
  <c r="AX57" i="43" s="1"/>
  <c r="AK57" i="43"/>
  <c r="B57" i="43"/>
  <c r="A57" i="43"/>
  <c r="AQ56" i="43"/>
  <c r="AR56" i="43" s="1"/>
  <c r="AT56" i="43" s="1"/>
  <c r="AO56" i="43"/>
  <c r="AP56" i="43" s="1"/>
  <c r="AS56" i="43" s="1"/>
  <c r="AM56" i="43"/>
  <c r="AL56" i="43"/>
  <c r="AK56" i="43"/>
  <c r="B56" i="43"/>
  <c r="A56" i="43"/>
  <c r="AQ55" i="43"/>
  <c r="AR55" i="43" s="1"/>
  <c r="AT55" i="43" s="1"/>
  <c r="AO55" i="43"/>
  <c r="AP55" i="43" s="1"/>
  <c r="AS55" i="43" s="1"/>
  <c r="AM55" i="43"/>
  <c r="AL55" i="43"/>
  <c r="AK55" i="43"/>
  <c r="B55" i="43"/>
  <c r="A55" i="43"/>
  <c r="AQ54" i="43"/>
  <c r="AR54" i="43" s="1"/>
  <c r="AT54" i="43" s="1"/>
  <c r="AO54" i="43"/>
  <c r="AP54" i="43" s="1"/>
  <c r="AS54" i="43" s="1"/>
  <c r="AM54" i="43"/>
  <c r="AY54" i="43" s="1"/>
  <c r="AL54" i="43"/>
  <c r="AX54" i="43" s="1"/>
  <c r="AK54" i="43"/>
  <c r="AW54" i="43" s="1"/>
  <c r="B54" i="43"/>
  <c r="A54" i="43"/>
  <c r="AQ53" i="43"/>
  <c r="AR53" i="43" s="1"/>
  <c r="AT53" i="43" s="1"/>
  <c r="AO53" i="43"/>
  <c r="AP53" i="43" s="1"/>
  <c r="AS53" i="43" s="1"/>
  <c r="AM53" i="43"/>
  <c r="AL53" i="43"/>
  <c r="AK53" i="43"/>
  <c r="B53" i="43"/>
  <c r="A53" i="43"/>
  <c r="AQ52" i="43"/>
  <c r="AR52" i="43" s="1"/>
  <c r="AT52" i="43" s="1"/>
  <c r="AO52" i="43"/>
  <c r="AP52" i="43" s="1"/>
  <c r="AS52" i="43" s="1"/>
  <c r="AM52" i="43"/>
  <c r="AL52" i="43"/>
  <c r="AK52" i="43"/>
  <c r="AW52" i="43" s="1"/>
  <c r="B52" i="43"/>
  <c r="A52" i="43"/>
  <c r="AQ51" i="43"/>
  <c r="AR51" i="43" s="1"/>
  <c r="AT51" i="43" s="1"/>
  <c r="AO51" i="43"/>
  <c r="AP51" i="43" s="1"/>
  <c r="AS51" i="43" s="1"/>
  <c r="AM51" i="43"/>
  <c r="AL51" i="43"/>
  <c r="AK51" i="43"/>
  <c r="B51" i="43"/>
  <c r="A51" i="43"/>
  <c r="AQ50" i="43"/>
  <c r="AR50" i="43" s="1"/>
  <c r="AT50" i="43" s="1"/>
  <c r="AO50" i="43"/>
  <c r="AP50" i="43" s="1"/>
  <c r="AS50" i="43" s="1"/>
  <c r="AM50" i="43"/>
  <c r="AL50" i="43"/>
  <c r="AK50" i="43"/>
  <c r="B50" i="43"/>
  <c r="A50" i="43"/>
  <c r="AQ49" i="43"/>
  <c r="AR49" i="43" s="1"/>
  <c r="AT49" i="43" s="1"/>
  <c r="AO49" i="43"/>
  <c r="AP49" i="43" s="1"/>
  <c r="AS49" i="43" s="1"/>
  <c r="AM49" i="43"/>
  <c r="AL49" i="43"/>
  <c r="AK49" i="43"/>
  <c r="B49" i="43"/>
  <c r="A49" i="43"/>
  <c r="AQ48" i="43"/>
  <c r="AR48" i="43" s="1"/>
  <c r="AT48" i="43" s="1"/>
  <c r="AO48" i="43"/>
  <c r="AP48" i="43" s="1"/>
  <c r="AS48" i="43" s="1"/>
  <c r="AM48" i="43"/>
  <c r="AY48" i="43" s="1"/>
  <c r="AL48" i="43"/>
  <c r="AK48" i="43"/>
  <c r="AW48" i="43" s="1"/>
  <c r="B48" i="43"/>
  <c r="A48" i="43"/>
  <c r="AQ47" i="43"/>
  <c r="AR47" i="43" s="1"/>
  <c r="AT47" i="43" s="1"/>
  <c r="AO47" i="43"/>
  <c r="AP47" i="43" s="1"/>
  <c r="AS47" i="43" s="1"/>
  <c r="AM47" i="43"/>
  <c r="AL47" i="43"/>
  <c r="AK47" i="43"/>
  <c r="B47" i="43"/>
  <c r="A47" i="43"/>
  <c r="AQ46" i="43"/>
  <c r="AR46" i="43" s="1"/>
  <c r="AT46" i="43" s="1"/>
  <c r="AO46" i="43"/>
  <c r="AP46" i="43" s="1"/>
  <c r="AS46" i="43" s="1"/>
  <c r="AM46" i="43"/>
  <c r="AL46" i="43"/>
  <c r="AK46" i="43"/>
  <c r="B46" i="43"/>
  <c r="A46" i="43"/>
  <c r="AQ45" i="43"/>
  <c r="AR45" i="43" s="1"/>
  <c r="AT45" i="43" s="1"/>
  <c r="AO45" i="43"/>
  <c r="AP45" i="43" s="1"/>
  <c r="AS45" i="43" s="1"/>
  <c r="AM45" i="43"/>
  <c r="AY45" i="43" s="1"/>
  <c r="AL45" i="43"/>
  <c r="AX45" i="43" s="1"/>
  <c r="AK45" i="43"/>
  <c r="B45" i="43"/>
  <c r="A45" i="43"/>
  <c r="AQ44" i="43"/>
  <c r="AR44" i="43" s="1"/>
  <c r="AT44" i="43" s="1"/>
  <c r="AO44" i="43"/>
  <c r="AP44" i="43" s="1"/>
  <c r="AS44" i="43" s="1"/>
  <c r="AM44" i="43"/>
  <c r="AL44" i="43"/>
  <c r="AK44" i="43"/>
  <c r="B44" i="43"/>
  <c r="A44" i="43"/>
  <c r="AQ43" i="43"/>
  <c r="AR43" i="43" s="1"/>
  <c r="AT43" i="43" s="1"/>
  <c r="AO43" i="43"/>
  <c r="AP43" i="43" s="1"/>
  <c r="AS43" i="43" s="1"/>
  <c r="AM43" i="43"/>
  <c r="AL43" i="43"/>
  <c r="AK43" i="43"/>
  <c r="B43" i="43"/>
  <c r="A43" i="43"/>
  <c r="AQ42" i="43"/>
  <c r="AR42" i="43" s="1"/>
  <c r="AT42" i="43" s="1"/>
  <c r="AO42" i="43"/>
  <c r="AP42" i="43" s="1"/>
  <c r="AS42" i="43" s="1"/>
  <c r="AM42" i="43"/>
  <c r="AY42" i="43" s="1"/>
  <c r="AL42" i="43"/>
  <c r="AX42" i="43" s="1"/>
  <c r="AK42" i="43"/>
  <c r="AW42" i="43" s="1"/>
  <c r="B42" i="43"/>
  <c r="A42" i="43"/>
  <c r="AQ41" i="43"/>
  <c r="AR41" i="43" s="1"/>
  <c r="AT41" i="43" s="1"/>
  <c r="AO41" i="43"/>
  <c r="AP41" i="43" s="1"/>
  <c r="AS41" i="43" s="1"/>
  <c r="AM41" i="43"/>
  <c r="AL41" i="43"/>
  <c r="AK41" i="43"/>
  <c r="B41" i="43"/>
  <c r="A41" i="43"/>
  <c r="AQ40" i="43"/>
  <c r="AR40" i="43" s="1"/>
  <c r="AT40" i="43" s="1"/>
  <c r="AO40" i="43"/>
  <c r="AP40" i="43" s="1"/>
  <c r="AS40" i="43" s="1"/>
  <c r="AM40" i="43"/>
  <c r="AL40" i="43"/>
  <c r="AK40" i="43"/>
  <c r="AW40" i="43" s="1"/>
  <c r="B40" i="43"/>
  <c r="A40" i="43"/>
  <c r="AQ39" i="43"/>
  <c r="AR39" i="43" s="1"/>
  <c r="AT39" i="43" s="1"/>
  <c r="AO39" i="43"/>
  <c r="AP39" i="43" s="1"/>
  <c r="AS39" i="43" s="1"/>
  <c r="AM39" i="43"/>
  <c r="AL39" i="43"/>
  <c r="AK39" i="43"/>
  <c r="B39" i="43"/>
  <c r="A39" i="43"/>
  <c r="AQ38" i="43"/>
  <c r="AR38" i="43" s="1"/>
  <c r="AT38" i="43" s="1"/>
  <c r="AO38" i="43"/>
  <c r="AP38" i="43" s="1"/>
  <c r="AS38" i="43" s="1"/>
  <c r="AM38" i="43"/>
  <c r="AL38" i="43"/>
  <c r="AK38" i="43"/>
  <c r="B38" i="43"/>
  <c r="A38" i="43"/>
  <c r="AQ37" i="43"/>
  <c r="AR37" i="43" s="1"/>
  <c r="AT37" i="43" s="1"/>
  <c r="AO37" i="43"/>
  <c r="AP37" i="43" s="1"/>
  <c r="AS37" i="43" s="1"/>
  <c r="AM37" i="43"/>
  <c r="AL37" i="43"/>
  <c r="AK37" i="43"/>
  <c r="B37" i="43"/>
  <c r="A37" i="43"/>
  <c r="AQ36" i="43"/>
  <c r="AR36" i="43" s="1"/>
  <c r="AT36" i="43" s="1"/>
  <c r="AO36" i="43"/>
  <c r="AP36" i="43" s="1"/>
  <c r="AS36" i="43" s="1"/>
  <c r="AM36" i="43"/>
  <c r="AY36" i="43" s="1"/>
  <c r="AL36" i="43"/>
  <c r="AK36" i="43"/>
  <c r="B36" i="43"/>
  <c r="A36" i="43"/>
  <c r="AQ35" i="43"/>
  <c r="AR35" i="43" s="1"/>
  <c r="AT35" i="43" s="1"/>
  <c r="AO35" i="43"/>
  <c r="AP35" i="43" s="1"/>
  <c r="AS35" i="43" s="1"/>
  <c r="AM35" i="43"/>
  <c r="AL35" i="43"/>
  <c r="AK35" i="43"/>
  <c r="B35" i="43"/>
  <c r="A35" i="43"/>
  <c r="AQ34" i="43"/>
  <c r="AR34" i="43" s="1"/>
  <c r="AT34" i="43" s="1"/>
  <c r="AO34" i="43"/>
  <c r="AP34" i="43" s="1"/>
  <c r="AS34" i="43" s="1"/>
  <c r="AM34" i="43"/>
  <c r="AL34" i="43"/>
  <c r="AK34" i="43"/>
  <c r="B34" i="43"/>
  <c r="A34" i="43"/>
  <c r="AQ33" i="43"/>
  <c r="AR33" i="43" s="1"/>
  <c r="AT33" i="43" s="1"/>
  <c r="AO33" i="43"/>
  <c r="AP33" i="43" s="1"/>
  <c r="AS33" i="43" s="1"/>
  <c r="AM33" i="43"/>
  <c r="AY33" i="43" s="1"/>
  <c r="AL33" i="43"/>
  <c r="AX33" i="43" s="1"/>
  <c r="AK33" i="43"/>
  <c r="B33" i="43"/>
  <c r="A33" i="43"/>
  <c r="AQ32" i="43"/>
  <c r="AR32" i="43" s="1"/>
  <c r="AT32" i="43" s="1"/>
  <c r="AO32" i="43"/>
  <c r="AP32" i="43" s="1"/>
  <c r="AS32" i="43" s="1"/>
  <c r="AM32" i="43"/>
  <c r="AL32" i="43"/>
  <c r="AK32" i="43"/>
  <c r="B32" i="43"/>
  <c r="A32" i="43"/>
  <c r="AQ31" i="43"/>
  <c r="AR31" i="43" s="1"/>
  <c r="AT31" i="43" s="1"/>
  <c r="AO31" i="43"/>
  <c r="AP31" i="43" s="1"/>
  <c r="AS31" i="43" s="1"/>
  <c r="AM31" i="43"/>
  <c r="AL31" i="43"/>
  <c r="AK31" i="43"/>
  <c r="B31" i="43"/>
  <c r="A31" i="43"/>
  <c r="AQ30" i="43"/>
  <c r="AR30" i="43" s="1"/>
  <c r="AT30" i="43" s="1"/>
  <c r="AO30" i="43"/>
  <c r="AP30" i="43" s="1"/>
  <c r="AS30" i="43" s="1"/>
  <c r="AM30" i="43"/>
  <c r="AL30" i="43"/>
  <c r="AX30" i="43" s="1"/>
  <c r="AK30" i="43"/>
  <c r="AW30" i="43" s="1"/>
  <c r="B30" i="43"/>
  <c r="A30" i="43"/>
  <c r="AQ29" i="43"/>
  <c r="AR29" i="43" s="1"/>
  <c r="AT29" i="43" s="1"/>
  <c r="AO29" i="43"/>
  <c r="AP29" i="43" s="1"/>
  <c r="AS29" i="43" s="1"/>
  <c r="AM29" i="43"/>
  <c r="AL29" i="43"/>
  <c r="AK29" i="43"/>
  <c r="B29" i="43"/>
  <c r="A29" i="43"/>
  <c r="AQ28" i="43"/>
  <c r="AR28" i="43" s="1"/>
  <c r="AT28" i="43" s="1"/>
  <c r="AO28" i="43"/>
  <c r="AP28" i="43" s="1"/>
  <c r="AS28" i="43" s="1"/>
  <c r="AM28" i="43"/>
  <c r="AL28" i="43"/>
  <c r="AK28" i="43"/>
  <c r="AW28" i="43" s="1"/>
  <c r="B28" i="43"/>
  <c r="A28" i="43"/>
  <c r="AQ27" i="43"/>
  <c r="AR27" i="43" s="1"/>
  <c r="AT27" i="43" s="1"/>
  <c r="AO27" i="43"/>
  <c r="AP27" i="43" s="1"/>
  <c r="AS27" i="43" s="1"/>
  <c r="AM27" i="43"/>
  <c r="AL27" i="43"/>
  <c r="AK27" i="43"/>
  <c r="B27" i="43"/>
  <c r="A27" i="43"/>
  <c r="AQ26" i="43"/>
  <c r="AR26" i="43" s="1"/>
  <c r="AT26" i="43" s="1"/>
  <c r="AO26" i="43"/>
  <c r="AP26" i="43" s="1"/>
  <c r="AS26" i="43" s="1"/>
  <c r="AM26" i="43"/>
  <c r="AL26" i="43"/>
  <c r="AK26" i="43"/>
  <c r="B26" i="43"/>
  <c r="A26" i="43"/>
  <c r="AQ25" i="43"/>
  <c r="AR25" i="43" s="1"/>
  <c r="AT25" i="43" s="1"/>
  <c r="AO25" i="43"/>
  <c r="AP25" i="43" s="1"/>
  <c r="AS25" i="43" s="1"/>
  <c r="AM25" i="43"/>
  <c r="AL25" i="43"/>
  <c r="AK25" i="43"/>
  <c r="B25" i="43"/>
  <c r="A25" i="43"/>
  <c r="AQ24" i="43"/>
  <c r="AR24" i="43" s="1"/>
  <c r="AT24" i="43" s="1"/>
  <c r="AO24" i="43"/>
  <c r="AP24" i="43" s="1"/>
  <c r="AS24" i="43" s="1"/>
  <c r="AM24" i="43"/>
  <c r="AY24" i="43" s="1"/>
  <c r="AL24" i="43"/>
  <c r="AK24" i="43"/>
  <c r="B24" i="43"/>
  <c r="A24" i="43"/>
  <c r="AQ23" i="43"/>
  <c r="AR23" i="43" s="1"/>
  <c r="AT23" i="43" s="1"/>
  <c r="AO23" i="43"/>
  <c r="AP23" i="43" s="1"/>
  <c r="AS23" i="43" s="1"/>
  <c r="AM23" i="43"/>
  <c r="AL23" i="43"/>
  <c r="AK23" i="43"/>
  <c r="B23" i="43"/>
  <c r="A23" i="43"/>
  <c r="AQ22" i="43"/>
  <c r="AR22" i="43" s="1"/>
  <c r="AT22" i="43" s="1"/>
  <c r="AO22" i="43"/>
  <c r="AP22" i="43" s="1"/>
  <c r="AS22" i="43" s="1"/>
  <c r="AM22" i="43"/>
  <c r="AL22" i="43"/>
  <c r="AK22" i="43"/>
  <c r="B22" i="43"/>
  <c r="A22" i="43"/>
  <c r="AQ21" i="43"/>
  <c r="AR21" i="43" s="1"/>
  <c r="AT21" i="43" s="1"/>
  <c r="AO21" i="43"/>
  <c r="AP21" i="43" s="1"/>
  <c r="AS21" i="43" s="1"/>
  <c r="AM21" i="43"/>
  <c r="AY21" i="43" s="1"/>
  <c r="AL21" i="43"/>
  <c r="AX21" i="43" s="1"/>
  <c r="AK21" i="43"/>
  <c r="B21" i="43"/>
  <c r="A21" i="43"/>
  <c r="AQ20" i="43"/>
  <c r="AR20" i="43" s="1"/>
  <c r="AT20" i="43" s="1"/>
  <c r="AO20" i="43"/>
  <c r="AP20" i="43" s="1"/>
  <c r="AS20" i="43" s="1"/>
  <c r="AM20" i="43"/>
  <c r="AL20" i="43"/>
  <c r="AK20" i="43"/>
  <c r="B20" i="43"/>
  <c r="A20" i="43"/>
  <c r="AQ19" i="43"/>
  <c r="AR19" i="43" s="1"/>
  <c r="AT19" i="43" s="1"/>
  <c r="AO19" i="43"/>
  <c r="AP19" i="43" s="1"/>
  <c r="AS19" i="43" s="1"/>
  <c r="AM19" i="43"/>
  <c r="AL19" i="43"/>
  <c r="AK19" i="43"/>
  <c r="B19" i="43"/>
  <c r="A19" i="43"/>
  <c r="AQ18" i="43"/>
  <c r="AR18" i="43" s="1"/>
  <c r="AT18" i="43" s="1"/>
  <c r="AO18" i="43"/>
  <c r="AP18" i="43" s="1"/>
  <c r="AS18" i="43" s="1"/>
  <c r="AM18" i="43"/>
  <c r="AL18" i="43"/>
  <c r="AX18" i="43" s="1"/>
  <c r="AK18" i="43"/>
  <c r="AW18" i="43" s="1"/>
  <c r="B18" i="43"/>
  <c r="A18" i="43"/>
  <c r="AQ17" i="43"/>
  <c r="AR17" i="43" s="1"/>
  <c r="AT17" i="43" s="1"/>
  <c r="AO17" i="43"/>
  <c r="AP17" i="43" s="1"/>
  <c r="AS17" i="43" s="1"/>
  <c r="AM17" i="43"/>
  <c r="AL17" i="43"/>
  <c r="AK17" i="43"/>
  <c r="B17" i="43"/>
  <c r="A17" i="43"/>
  <c r="AQ16" i="43"/>
  <c r="AR16" i="43" s="1"/>
  <c r="AT16" i="43" s="1"/>
  <c r="AO16" i="43"/>
  <c r="AP16" i="43" s="1"/>
  <c r="AS16" i="43" s="1"/>
  <c r="AM16" i="43"/>
  <c r="AL16" i="43"/>
  <c r="AK16" i="43"/>
  <c r="AW16" i="43" s="1"/>
  <c r="B16" i="43"/>
  <c r="A16" i="43"/>
  <c r="AQ15" i="43"/>
  <c r="AR15" i="43" s="1"/>
  <c r="AT15" i="43" s="1"/>
  <c r="AO15" i="43"/>
  <c r="AP15" i="43" s="1"/>
  <c r="AS15" i="43" s="1"/>
  <c r="AM15" i="43"/>
  <c r="AL15" i="43"/>
  <c r="AK15" i="43"/>
  <c r="B15" i="43"/>
  <c r="A15" i="43"/>
  <c r="AQ14" i="43"/>
  <c r="AR14" i="43" s="1"/>
  <c r="AT14" i="43" s="1"/>
  <c r="AO14" i="43"/>
  <c r="AP14" i="43" s="1"/>
  <c r="AS14" i="43" s="1"/>
  <c r="AM14" i="43"/>
  <c r="AL14" i="43"/>
  <c r="AK14" i="43"/>
  <c r="B14" i="43"/>
  <c r="A14" i="43"/>
  <c r="AQ13" i="43"/>
  <c r="AR13" i="43" s="1"/>
  <c r="AT13" i="43" s="1"/>
  <c r="AO13" i="43"/>
  <c r="AP13" i="43" s="1"/>
  <c r="AS13" i="43" s="1"/>
  <c r="AM13" i="43"/>
  <c r="AL13" i="43"/>
  <c r="AK13" i="43"/>
  <c r="AW13" i="43" s="1"/>
  <c r="B13" i="43"/>
  <c r="A13" i="43"/>
  <c r="AQ12" i="43"/>
  <c r="AR12" i="43" s="1"/>
  <c r="AT12" i="43" s="1"/>
  <c r="AO12" i="43"/>
  <c r="AP12" i="43" s="1"/>
  <c r="AS12" i="43" s="1"/>
  <c r="AM12" i="43"/>
  <c r="AL12" i="43"/>
  <c r="AK12" i="43"/>
  <c r="AW12" i="43" s="1"/>
  <c r="B12" i="43"/>
  <c r="A12" i="43"/>
  <c r="AQ11" i="43"/>
  <c r="AR11" i="43" s="1"/>
  <c r="AT11" i="43" s="1"/>
  <c r="AO11" i="43"/>
  <c r="AP11" i="43" s="1"/>
  <c r="AS11" i="43" s="1"/>
  <c r="AM11" i="43"/>
  <c r="AL11" i="43"/>
  <c r="AK11" i="43"/>
  <c r="B11" i="43"/>
  <c r="A11" i="43"/>
  <c r="AQ10" i="43"/>
  <c r="AR10" i="43" s="1"/>
  <c r="AT10" i="43" s="1"/>
  <c r="AO10" i="43"/>
  <c r="AM10" i="43"/>
  <c r="AL10" i="43"/>
  <c r="AK10" i="43"/>
  <c r="AW10" i="43" s="1"/>
  <c r="B10" i="43"/>
  <c r="A10" i="43"/>
  <c r="AQ9" i="43"/>
  <c r="AR9" i="43" s="1"/>
  <c r="AT9" i="43" s="1"/>
  <c r="AO9" i="43"/>
  <c r="AM9" i="43"/>
  <c r="AL9" i="43"/>
  <c r="AK9" i="43"/>
  <c r="AW9" i="43" s="1"/>
  <c r="B9" i="43"/>
  <c r="A9" i="43"/>
  <c r="AY8" i="43"/>
  <c r="AX8" i="43"/>
  <c r="AW8" i="43"/>
  <c r="AM7" i="43"/>
  <c r="AI7" i="43"/>
  <c r="W7" i="43"/>
  <c r="AL7" i="43" s="1"/>
  <c r="C7" i="43"/>
  <c r="AK7" i="43" s="1"/>
  <c r="BB5" i="43"/>
  <c r="BA5" i="43"/>
  <c r="AZ5" i="43"/>
  <c r="BB4" i="43"/>
  <c r="BA4" i="43"/>
  <c r="AZ4" i="43"/>
  <c r="AQ68" i="42"/>
  <c r="AR68" i="42" s="1"/>
  <c r="AT68" i="42" s="1"/>
  <c r="AO68" i="42"/>
  <c r="AP68" i="42" s="1"/>
  <c r="AS68" i="42" s="1"/>
  <c r="AM68" i="42"/>
  <c r="AY68" i="42" s="1"/>
  <c r="AL68" i="42"/>
  <c r="AK68" i="42"/>
  <c r="B68" i="42"/>
  <c r="A68" i="42"/>
  <c r="AQ67" i="42"/>
  <c r="AR67" i="42" s="1"/>
  <c r="AT67" i="42" s="1"/>
  <c r="AO67" i="42"/>
  <c r="AP67" i="42" s="1"/>
  <c r="AS67" i="42" s="1"/>
  <c r="AM67" i="42"/>
  <c r="AY67" i="42" s="1"/>
  <c r="AL67" i="42"/>
  <c r="AX67" i="42" s="1"/>
  <c r="AK67" i="42"/>
  <c r="B67" i="42"/>
  <c r="A67" i="42"/>
  <c r="AQ66" i="42"/>
  <c r="AR66" i="42" s="1"/>
  <c r="AT66" i="42" s="1"/>
  <c r="AO66" i="42"/>
  <c r="AP66" i="42" s="1"/>
  <c r="AS66" i="42" s="1"/>
  <c r="AM66" i="42"/>
  <c r="AY66" i="42" s="1"/>
  <c r="AL66" i="42"/>
  <c r="AX66" i="42" s="1"/>
  <c r="AK66" i="42"/>
  <c r="B66" i="42"/>
  <c r="A66" i="42"/>
  <c r="AQ65" i="42"/>
  <c r="AR65" i="42" s="1"/>
  <c r="AT65" i="42" s="1"/>
  <c r="AO65" i="42"/>
  <c r="AP65" i="42" s="1"/>
  <c r="AS65" i="42" s="1"/>
  <c r="AM65" i="42"/>
  <c r="AL65" i="42"/>
  <c r="AK65" i="42"/>
  <c r="B65" i="42"/>
  <c r="A65" i="42"/>
  <c r="AQ64" i="42"/>
  <c r="AR64" i="42" s="1"/>
  <c r="AT64" i="42" s="1"/>
  <c r="AO64" i="42"/>
  <c r="AP64" i="42" s="1"/>
  <c r="AS64" i="42" s="1"/>
  <c r="AM64" i="42"/>
  <c r="AY64" i="42" s="1"/>
  <c r="AL64" i="42"/>
  <c r="AX64" i="42" s="1"/>
  <c r="AK64" i="42"/>
  <c r="B64" i="42"/>
  <c r="A64" i="42"/>
  <c r="AQ63" i="42"/>
  <c r="AR63" i="42" s="1"/>
  <c r="AT63" i="42" s="1"/>
  <c r="AO63" i="42"/>
  <c r="AP63" i="42" s="1"/>
  <c r="AS63" i="42" s="1"/>
  <c r="AM63" i="42"/>
  <c r="AY63" i="42" s="1"/>
  <c r="AL63" i="42"/>
  <c r="AX63" i="42" s="1"/>
  <c r="AK63" i="42"/>
  <c r="AW63" i="42" s="1"/>
  <c r="B63" i="42"/>
  <c r="A63" i="42"/>
  <c r="AQ62" i="42"/>
  <c r="AR62" i="42" s="1"/>
  <c r="AT62" i="42" s="1"/>
  <c r="AO62" i="42"/>
  <c r="AP62" i="42" s="1"/>
  <c r="AS62" i="42" s="1"/>
  <c r="AM62" i="42"/>
  <c r="AY62" i="42" s="1"/>
  <c r="AL62" i="42"/>
  <c r="AK62" i="42"/>
  <c r="B62" i="42"/>
  <c r="A62" i="42"/>
  <c r="AQ61" i="42"/>
  <c r="AR61" i="42" s="1"/>
  <c r="AT61" i="42" s="1"/>
  <c r="AO61" i="42"/>
  <c r="AP61" i="42" s="1"/>
  <c r="AS61" i="42" s="1"/>
  <c r="AM61" i="42"/>
  <c r="AY61" i="42" s="1"/>
  <c r="AL61" i="42"/>
  <c r="AX61" i="42" s="1"/>
  <c r="AK61" i="42"/>
  <c r="B61" i="42"/>
  <c r="A61" i="42"/>
  <c r="AQ60" i="42"/>
  <c r="AR60" i="42" s="1"/>
  <c r="AT60" i="42" s="1"/>
  <c r="AO60" i="42"/>
  <c r="AP60" i="42" s="1"/>
  <c r="AS60" i="42" s="1"/>
  <c r="AM60" i="42"/>
  <c r="AY60" i="42" s="1"/>
  <c r="AL60" i="42"/>
  <c r="AX60" i="42" s="1"/>
  <c r="AK60" i="42"/>
  <c r="B60" i="42"/>
  <c r="A60" i="42"/>
  <c r="AQ59" i="42"/>
  <c r="AR59" i="42" s="1"/>
  <c r="AT59" i="42" s="1"/>
  <c r="AO59" i="42"/>
  <c r="AP59" i="42" s="1"/>
  <c r="AS59" i="42" s="1"/>
  <c r="AM59" i="42"/>
  <c r="AY59" i="42" s="1"/>
  <c r="AL59" i="42"/>
  <c r="AK59" i="42"/>
  <c r="B59" i="42"/>
  <c r="A59" i="42"/>
  <c r="AQ58" i="42"/>
  <c r="AR58" i="42" s="1"/>
  <c r="AT58" i="42" s="1"/>
  <c r="AO58" i="42"/>
  <c r="AP58" i="42" s="1"/>
  <c r="AS58" i="42" s="1"/>
  <c r="AM58" i="42"/>
  <c r="AY58" i="42" s="1"/>
  <c r="AL58" i="42"/>
  <c r="AX58" i="42" s="1"/>
  <c r="AK58" i="42"/>
  <c r="B58" i="42"/>
  <c r="A58" i="42"/>
  <c r="AQ57" i="42"/>
  <c r="AR57" i="42" s="1"/>
  <c r="AT57" i="42" s="1"/>
  <c r="AO57" i="42"/>
  <c r="AP57" i="42" s="1"/>
  <c r="AS57" i="42" s="1"/>
  <c r="AM57" i="42"/>
  <c r="AY57" i="42" s="1"/>
  <c r="AL57" i="42"/>
  <c r="AX57" i="42" s="1"/>
  <c r="AK57" i="42"/>
  <c r="B57" i="42"/>
  <c r="A57" i="42"/>
  <c r="AQ56" i="42"/>
  <c r="AR56" i="42" s="1"/>
  <c r="AT56" i="42" s="1"/>
  <c r="AO56" i="42"/>
  <c r="AP56" i="42" s="1"/>
  <c r="AS56" i="42" s="1"/>
  <c r="AM56" i="42"/>
  <c r="AL56" i="42"/>
  <c r="AK56" i="42"/>
  <c r="B56" i="42"/>
  <c r="A56" i="42"/>
  <c r="AQ55" i="42"/>
  <c r="AR55" i="42" s="1"/>
  <c r="AT55" i="42" s="1"/>
  <c r="AO55" i="42"/>
  <c r="AP55" i="42" s="1"/>
  <c r="AS55" i="42" s="1"/>
  <c r="AM55" i="42"/>
  <c r="AY55" i="42" s="1"/>
  <c r="AL55" i="42"/>
  <c r="AX55" i="42" s="1"/>
  <c r="AK55" i="42"/>
  <c r="B55" i="42"/>
  <c r="A55" i="42"/>
  <c r="AQ54" i="42"/>
  <c r="AR54" i="42" s="1"/>
  <c r="AT54" i="42" s="1"/>
  <c r="AO54" i="42"/>
  <c r="AP54" i="42" s="1"/>
  <c r="AS54" i="42" s="1"/>
  <c r="AM54" i="42"/>
  <c r="AY54" i="42" s="1"/>
  <c r="AL54" i="42"/>
  <c r="AX54" i="42" s="1"/>
  <c r="AK54" i="42"/>
  <c r="AW54" i="42" s="1"/>
  <c r="B54" i="42"/>
  <c r="A54" i="42"/>
  <c r="AQ53" i="42"/>
  <c r="AR53" i="42" s="1"/>
  <c r="AT53" i="42" s="1"/>
  <c r="AO53" i="42"/>
  <c r="AP53" i="42" s="1"/>
  <c r="AS53" i="42" s="1"/>
  <c r="AM53" i="42"/>
  <c r="AY53" i="42" s="1"/>
  <c r="AL53" i="42"/>
  <c r="AK53" i="42"/>
  <c r="B53" i="42"/>
  <c r="A53" i="42"/>
  <c r="AQ52" i="42"/>
  <c r="AR52" i="42" s="1"/>
  <c r="AT52" i="42" s="1"/>
  <c r="AO52" i="42"/>
  <c r="AP52" i="42" s="1"/>
  <c r="AS52" i="42" s="1"/>
  <c r="AM52" i="42"/>
  <c r="AY52" i="42" s="1"/>
  <c r="AL52" i="42"/>
  <c r="AX52" i="42" s="1"/>
  <c r="AK52" i="42"/>
  <c r="B52" i="42"/>
  <c r="A52" i="42"/>
  <c r="AQ51" i="42"/>
  <c r="AR51" i="42" s="1"/>
  <c r="AT51" i="42" s="1"/>
  <c r="AO51" i="42"/>
  <c r="AP51" i="42" s="1"/>
  <c r="AS51" i="42" s="1"/>
  <c r="AM51" i="42"/>
  <c r="AY51" i="42" s="1"/>
  <c r="AL51" i="42"/>
  <c r="AX51" i="42" s="1"/>
  <c r="AK51" i="42"/>
  <c r="B51" i="42"/>
  <c r="A51" i="42"/>
  <c r="AQ50" i="42"/>
  <c r="AR50" i="42" s="1"/>
  <c r="AT50" i="42" s="1"/>
  <c r="AO50" i="42"/>
  <c r="AP50" i="42" s="1"/>
  <c r="AS50" i="42" s="1"/>
  <c r="AM50" i="42"/>
  <c r="AY50" i="42" s="1"/>
  <c r="AL50" i="42"/>
  <c r="AK50" i="42"/>
  <c r="B50" i="42"/>
  <c r="A50" i="42"/>
  <c r="AQ49" i="42"/>
  <c r="AR49" i="42" s="1"/>
  <c r="AT49" i="42" s="1"/>
  <c r="AO49" i="42"/>
  <c r="AP49" i="42" s="1"/>
  <c r="AS49" i="42" s="1"/>
  <c r="AM49" i="42"/>
  <c r="AY49" i="42" s="1"/>
  <c r="AL49" i="42"/>
  <c r="AX49" i="42" s="1"/>
  <c r="AK49" i="42"/>
  <c r="B49" i="42"/>
  <c r="A49" i="42"/>
  <c r="AQ48" i="42"/>
  <c r="AR48" i="42" s="1"/>
  <c r="AT48" i="42" s="1"/>
  <c r="AO48" i="42"/>
  <c r="AP48" i="42" s="1"/>
  <c r="AS48" i="42" s="1"/>
  <c r="AM48" i="42"/>
  <c r="AY48" i="42" s="1"/>
  <c r="AL48" i="42"/>
  <c r="AX48" i="42" s="1"/>
  <c r="AK48" i="42"/>
  <c r="B48" i="42"/>
  <c r="A48" i="42"/>
  <c r="AQ47" i="42"/>
  <c r="AR47" i="42" s="1"/>
  <c r="AT47" i="42" s="1"/>
  <c r="AO47" i="42"/>
  <c r="AP47" i="42" s="1"/>
  <c r="AS47" i="42" s="1"/>
  <c r="AM47" i="42"/>
  <c r="AL47" i="42"/>
  <c r="AK47" i="42"/>
  <c r="B47" i="42"/>
  <c r="A47" i="42"/>
  <c r="AQ46" i="42"/>
  <c r="AR46" i="42" s="1"/>
  <c r="AT46" i="42" s="1"/>
  <c r="AO46" i="42"/>
  <c r="AP46" i="42" s="1"/>
  <c r="AS46" i="42" s="1"/>
  <c r="AM46" i="42"/>
  <c r="AY46" i="42" s="1"/>
  <c r="AL46" i="42"/>
  <c r="AX46" i="42" s="1"/>
  <c r="AK46" i="42"/>
  <c r="B46" i="42"/>
  <c r="A46" i="42"/>
  <c r="AQ45" i="42"/>
  <c r="AR45" i="42" s="1"/>
  <c r="AT45" i="42" s="1"/>
  <c r="AO45" i="42"/>
  <c r="AP45" i="42" s="1"/>
  <c r="AS45" i="42" s="1"/>
  <c r="AM45" i="42"/>
  <c r="AY45" i="42" s="1"/>
  <c r="AL45" i="42"/>
  <c r="AX45" i="42" s="1"/>
  <c r="AK45" i="42"/>
  <c r="B45" i="42"/>
  <c r="A45" i="42"/>
  <c r="AQ44" i="42"/>
  <c r="AR44" i="42" s="1"/>
  <c r="AT44" i="42" s="1"/>
  <c r="AO44" i="42"/>
  <c r="AP44" i="42" s="1"/>
  <c r="AS44" i="42" s="1"/>
  <c r="AM44" i="42"/>
  <c r="AY44" i="42" s="1"/>
  <c r="AL44" i="42"/>
  <c r="AX44" i="42" s="1"/>
  <c r="AK44" i="42"/>
  <c r="B44" i="42"/>
  <c r="A44" i="42"/>
  <c r="AQ43" i="42"/>
  <c r="AR43" i="42" s="1"/>
  <c r="AT43" i="42" s="1"/>
  <c r="AO43" i="42"/>
  <c r="AP43" i="42" s="1"/>
  <c r="AS43" i="42" s="1"/>
  <c r="AM43" i="42"/>
  <c r="AY43" i="42" s="1"/>
  <c r="AL43" i="42"/>
  <c r="AX43" i="42" s="1"/>
  <c r="AK43" i="42"/>
  <c r="B43" i="42"/>
  <c r="A43" i="42"/>
  <c r="AQ42" i="42"/>
  <c r="AR42" i="42" s="1"/>
  <c r="AT42" i="42" s="1"/>
  <c r="AO42" i="42"/>
  <c r="AP42" i="42" s="1"/>
  <c r="AS42" i="42" s="1"/>
  <c r="AM42" i="42"/>
  <c r="AY42" i="42" s="1"/>
  <c r="AL42" i="42"/>
  <c r="AX42" i="42" s="1"/>
  <c r="AK42" i="42"/>
  <c r="B42" i="42"/>
  <c r="A42" i="42"/>
  <c r="AQ41" i="42"/>
  <c r="AR41" i="42" s="1"/>
  <c r="AT41" i="42" s="1"/>
  <c r="AO41" i="42"/>
  <c r="AP41" i="42" s="1"/>
  <c r="AS41" i="42" s="1"/>
  <c r="AM41" i="42"/>
  <c r="AL41" i="42"/>
  <c r="AX41" i="42" s="1"/>
  <c r="AK41" i="42"/>
  <c r="B41" i="42"/>
  <c r="A41" i="42"/>
  <c r="AQ40" i="42"/>
  <c r="AR40" i="42" s="1"/>
  <c r="AT40" i="42" s="1"/>
  <c r="AO40" i="42"/>
  <c r="AP40" i="42" s="1"/>
  <c r="AS40" i="42" s="1"/>
  <c r="AM40" i="42"/>
  <c r="AY40" i="42" s="1"/>
  <c r="AL40" i="42"/>
  <c r="AX40" i="42" s="1"/>
  <c r="AK40" i="42"/>
  <c r="AW40" i="42" s="1"/>
  <c r="B40" i="42"/>
  <c r="A40" i="42"/>
  <c r="AQ39" i="42"/>
  <c r="AR39" i="42" s="1"/>
  <c r="AT39" i="42" s="1"/>
  <c r="AO39" i="42"/>
  <c r="AP39" i="42" s="1"/>
  <c r="AS39" i="42" s="1"/>
  <c r="AM39" i="42"/>
  <c r="AY39" i="42" s="1"/>
  <c r="AL39" i="42"/>
  <c r="AX39" i="42" s="1"/>
  <c r="AK39" i="42"/>
  <c r="B39" i="42"/>
  <c r="A39" i="42"/>
  <c r="AQ38" i="42"/>
  <c r="AR38" i="42" s="1"/>
  <c r="AT38" i="42" s="1"/>
  <c r="AO38" i="42"/>
  <c r="AP38" i="42" s="1"/>
  <c r="AS38" i="42" s="1"/>
  <c r="AM38" i="42"/>
  <c r="AY38" i="42" s="1"/>
  <c r="AL38" i="42"/>
  <c r="AK38" i="42"/>
  <c r="B38" i="42"/>
  <c r="A38" i="42"/>
  <c r="AQ37" i="42"/>
  <c r="AR37" i="42" s="1"/>
  <c r="AT37" i="42" s="1"/>
  <c r="AO37" i="42"/>
  <c r="AP37" i="42" s="1"/>
  <c r="AS37" i="42" s="1"/>
  <c r="AM37" i="42"/>
  <c r="AY37" i="42" s="1"/>
  <c r="AL37" i="42"/>
  <c r="AX37" i="42" s="1"/>
  <c r="AK37" i="42"/>
  <c r="B37" i="42"/>
  <c r="A37" i="42"/>
  <c r="AQ36" i="42"/>
  <c r="AR36" i="42" s="1"/>
  <c r="AT36" i="42" s="1"/>
  <c r="AO36" i="42"/>
  <c r="AP36" i="42" s="1"/>
  <c r="AS36" i="42" s="1"/>
  <c r="AM36" i="42"/>
  <c r="AY36" i="42" s="1"/>
  <c r="AL36" i="42"/>
  <c r="AX36" i="42" s="1"/>
  <c r="AK36" i="42"/>
  <c r="B36" i="42"/>
  <c r="A36" i="42"/>
  <c r="AQ35" i="42"/>
  <c r="AR35" i="42" s="1"/>
  <c r="AT35" i="42" s="1"/>
  <c r="AO35" i="42"/>
  <c r="AP35" i="42" s="1"/>
  <c r="AS35" i="42" s="1"/>
  <c r="AM35" i="42"/>
  <c r="AY35" i="42" s="1"/>
  <c r="AL35" i="42"/>
  <c r="AX35" i="42" s="1"/>
  <c r="AK35" i="42"/>
  <c r="B35" i="42"/>
  <c r="A35" i="42"/>
  <c r="AQ34" i="42"/>
  <c r="AR34" i="42" s="1"/>
  <c r="AT34" i="42" s="1"/>
  <c r="AO34" i="42"/>
  <c r="AP34" i="42" s="1"/>
  <c r="AS34" i="42" s="1"/>
  <c r="AM34" i="42"/>
  <c r="AY34" i="42" s="1"/>
  <c r="AL34" i="42"/>
  <c r="AX34" i="42" s="1"/>
  <c r="AK34" i="42"/>
  <c r="B34" i="42"/>
  <c r="A34" i="42"/>
  <c r="AQ33" i="42"/>
  <c r="AR33" i="42" s="1"/>
  <c r="AT33" i="42" s="1"/>
  <c r="AO33" i="42"/>
  <c r="AP33" i="42" s="1"/>
  <c r="AS33" i="42" s="1"/>
  <c r="AM33" i="42"/>
  <c r="AY33" i="42" s="1"/>
  <c r="AL33" i="42"/>
  <c r="AX33" i="42" s="1"/>
  <c r="AK33" i="42"/>
  <c r="B33" i="42"/>
  <c r="A33" i="42"/>
  <c r="AQ32" i="42"/>
  <c r="AR32" i="42" s="1"/>
  <c r="AT32" i="42" s="1"/>
  <c r="AO32" i="42"/>
  <c r="AP32" i="42" s="1"/>
  <c r="AS32" i="42" s="1"/>
  <c r="AM32" i="42"/>
  <c r="AY32" i="42" s="1"/>
  <c r="AL32" i="42"/>
  <c r="AK32" i="42"/>
  <c r="B32" i="42"/>
  <c r="A32" i="42"/>
  <c r="AQ31" i="42"/>
  <c r="AR31" i="42" s="1"/>
  <c r="AT31" i="42" s="1"/>
  <c r="AO31" i="42"/>
  <c r="AP31" i="42" s="1"/>
  <c r="AS31" i="42" s="1"/>
  <c r="AM31" i="42"/>
  <c r="AY31" i="42" s="1"/>
  <c r="AL31" i="42"/>
  <c r="AX31" i="42" s="1"/>
  <c r="AK31" i="42"/>
  <c r="B31" i="42"/>
  <c r="A31" i="42"/>
  <c r="AQ30" i="42"/>
  <c r="AR30" i="42" s="1"/>
  <c r="AT30" i="42" s="1"/>
  <c r="AO30" i="42"/>
  <c r="AP30" i="42" s="1"/>
  <c r="AS30" i="42" s="1"/>
  <c r="AM30" i="42"/>
  <c r="AY30" i="42" s="1"/>
  <c r="AL30" i="42"/>
  <c r="AX30" i="42" s="1"/>
  <c r="AK30" i="42"/>
  <c r="B30" i="42"/>
  <c r="A30" i="42"/>
  <c r="AQ29" i="42"/>
  <c r="AR29" i="42" s="1"/>
  <c r="AT29" i="42" s="1"/>
  <c r="AO29" i="42"/>
  <c r="AP29" i="42" s="1"/>
  <c r="AS29" i="42" s="1"/>
  <c r="AM29" i="42"/>
  <c r="AY29" i="42" s="1"/>
  <c r="AL29" i="42"/>
  <c r="AX29" i="42" s="1"/>
  <c r="AK29" i="42"/>
  <c r="B29" i="42"/>
  <c r="A29" i="42"/>
  <c r="AQ28" i="42"/>
  <c r="AR28" i="42" s="1"/>
  <c r="AT28" i="42" s="1"/>
  <c r="AO28" i="42"/>
  <c r="AP28" i="42" s="1"/>
  <c r="AS28" i="42" s="1"/>
  <c r="AM28" i="42"/>
  <c r="AY28" i="42" s="1"/>
  <c r="AL28" i="42"/>
  <c r="AX28" i="42" s="1"/>
  <c r="AK28" i="42"/>
  <c r="B28" i="42"/>
  <c r="A28" i="42"/>
  <c r="AQ27" i="42"/>
  <c r="AR27" i="42" s="1"/>
  <c r="AT27" i="42" s="1"/>
  <c r="AO27" i="42"/>
  <c r="AP27" i="42" s="1"/>
  <c r="AS27" i="42" s="1"/>
  <c r="AM27" i="42"/>
  <c r="AY27" i="42" s="1"/>
  <c r="AL27" i="42"/>
  <c r="AX27" i="42" s="1"/>
  <c r="AK27" i="42"/>
  <c r="B27" i="42"/>
  <c r="A27" i="42"/>
  <c r="AQ26" i="42"/>
  <c r="AR26" i="42" s="1"/>
  <c r="AT26" i="42" s="1"/>
  <c r="AO26" i="42"/>
  <c r="AP26" i="42" s="1"/>
  <c r="AS26" i="42" s="1"/>
  <c r="AM26" i="42"/>
  <c r="AL26" i="42"/>
  <c r="AX26" i="42" s="1"/>
  <c r="AK26" i="42"/>
  <c r="B26" i="42"/>
  <c r="A26" i="42"/>
  <c r="AQ25" i="42"/>
  <c r="AR25" i="42" s="1"/>
  <c r="AT25" i="42" s="1"/>
  <c r="AO25" i="42"/>
  <c r="AP25" i="42" s="1"/>
  <c r="AS25" i="42" s="1"/>
  <c r="AM25" i="42"/>
  <c r="AY25" i="42" s="1"/>
  <c r="AL25" i="42"/>
  <c r="AX25" i="42" s="1"/>
  <c r="AK25" i="42"/>
  <c r="B25" i="42"/>
  <c r="A25" i="42"/>
  <c r="AQ24" i="42"/>
  <c r="AR24" i="42" s="1"/>
  <c r="AT24" i="42" s="1"/>
  <c r="AO24" i="42"/>
  <c r="AP24" i="42" s="1"/>
  <c r="AS24" i="42" s="1"/>
  <c r="AM24" i="42"/>
  <c r="AY24" i="42" s="1"/>
  <c r="AL24" i="42"/>
  <c r="AX24" i="42" s="1"/>
  <c r="AK24" i="42"/>
  <c r="AW24" i="42" s="1"/>
  <c r="B24" i="42"/>
  <c r="A24" i="42"/>
  <c r="AQ23" i="42"/>
  <c r="AR23" i="42" s="1"/>
  <c r="AT23" i="42" s="1"/>
  <c r="AO23" i="42"/>
  <c r="AP23" i="42" s="1"/>
  <c r="AS23" i="42" s="1"/>
  <c r="AM23" i="42"/>
  <c r="AY23" i="42" s="1"/>
  <c r="AL23" i="42"/>
  <c r="AX23" i="42" s="1"/>
  <c r="AK23" i="42"/>
  <c r="B23" i="42"/>
  <c r="A23" i="42"/>
  <c r="AQ22" i="42"/>
  <c r="AR22" i="42" s="1"/>
  <c r="AT22" i="42" s="1"/>
  <c r="AO22" i="42"/>
  <c r="AP22" i="42" s="1"/>
  <c r="AS22" i="42" s="1"/>
  <c r="AM22" i="42"/>
  <c r="AY22" i="42" s="1"/>
  <c r="AL22" i="42"/>
  <c r="AK22" i="42"/>
  <c r="B22" i="42"/>
  <c r="A22" i="42"/>
  <c r="AQ21" i="42"/>
  <c r="AR21" i="42" s="1"/>
  <c r="AT21" i="42" s="1"/>
  <c r="AO21" i="42"/>
  <c r="AP21" i="42" s="1"/>
  <c r="AS21" i="42" s="1"/>
  <c r="AM21" i="42"/>
  <c r="AY21" i="42" s="1"/>
  <c r="AL21" i="42"/>
  <c r="AX21" i="42" s="1"/>
  <c r="AK21" i="42"/>
  <c r="B21" i="42"/>
  <c r="A21" i="42"/>
  <c r="AQ20" i="42"/>
  <c r="AR20" i="42" s="1"/>
  <c r="AT20" i="42" s="1"/>
  <c r="AO20" i="42"/>
  <c r="AP20" i="42" s="1"/>
  <c r="AS20" i="42" s="1"/>
  <c r="AM20" i="42"/>
  <c r="AY20" i="42" s="1"/>
  <c r="AL20" i="42"/>
  <c r="AX20" i="42" s="1"/>
  <c r="AK20" i="42"/>
  <c r="B20" i="42"/>
  <c r="A20" i="42"/>
  <c r="AQ19" i="42"/>
  <c r="AR19" i="42" s="1"/>
  <c r="AT19" i="42" s="1"/>
  <c r="AO19" i="42"/>
  <c r="AP19" i="42" s="1"/>
  <c r="AS19" i="42" s="1"/>
  <c r="AM19" i="42"/>
  <c r="AY19" i="42" s="1"/>
  <c r="AL19" i="42"/>
  <c r="AX19" i="42" s="1"/>
  <c r="AK19" i="42"/>
  <c r="AW19" i="42" s="1"/>
  <c r="B19" i="42"/>
  <c r="A19" i="42"/>
  <c r="AQ18" i="42"/>
  <c r="AR18" i="42" s="1"/>
  <c r="AT18" i="42" s="1"/>
  <c r="AO18" i="42"/>
  <c r="AP18" i="42" s="1"/>
  <c r="AS18" i="42" s="1"/>
  <c r="AM18" i="42"/>
  <c r="AY18" i="42" s="1"/>
  <c r="AL18" i="42"/>
  <c r="AX18" i="42" s="1"/>
  <c r="AK18" i="42"/>
  <c r="B18" i="42"/>
  <c r="A18" i="42"/>
  <c r="AQ17" i="42"/>
  <c r="AR17" i="42" s="1"/>
  <c r="AT17" i="42" s="1"/>
  <c r="AO17" i="42"/>
  <c r="AP17" i="42" s="1"/>
  <c r="AS17" i="42" s="1"/>
  <c r="AM17" i="42"/>
  <c r="AY17" i="42" s="1"/>
  <c r="AL17" i="42"/>
  <c r="AK17" i="42"/>
  <c r="B17" i="42"/>
  <c r="A17" i="42"/>
  <c r="AQ16" i="42"/>
  <c r="AR16" i="42" s="1"/>
  <c r="AT16" i="42" s="1"/>
  <c r="AO16" i="42"/>
  <c r="AP16" i="42" s="1"/>
  <c r="AS16" i="42" s="1"/>
  <c r="AM16" i="42"/>
  <c r="AY16" i="42" s="1"/>
  <c r="AL16" i="42"/>
  <c r="AX16" i="42" s="1"/>
  <c r="AK16" i="42"/>
  <c r="B16" i="42"/>
  <c r="A16" i="42"/>
  <c r="AQ15" i="42"/>
  <c r="AR15" i="42" s="1"/>
  <c r="AT15" i="42" s="1"/>
  <c r="AO15" i="42"/>
  <c r="AP15" i="42" s="1"/>
  <c r="AS15" i="42" s="1"/>
  <c r="AM15" i="42"/>
  <c r="AY15" i="42" s="1"/>
  <c r="AL15" i="42"/>
  <c r="AX15" i="42" s="1"/>
  <c r="AK15" i="42"/>
  <c r="AW15" i="42" s="1"/>
  <c r="B15" i="42"/>
  <c r="A15" i="42"/>
  <c r="AQ14" i="42"/>
  <c r="AR14" i="42" s="1"/>
  <c r="AT14" i="42" s="1"/>
  <c r="AO14" i="42"/>
  <c r="AP14" i="42" s="1"/>
  <c r="AS14" i="42" s="1"/>
  <c r="AM14" i="42"/>
  <c r="AY14" i="42" s="1"/>
  <c r="AL14" i="42"/>
  <c r="AX14" i="42" s="1"/>
  <c r="AK14" i="42"/>
  <c r="B14" i="42"/>
  <c r="A14" i="42"/>
  <c r="AQ13" i="42"/>
  <c r="AR13" i="42" s="1"/>
  <c r="AT13" i="42" s="1"/>
  <c r="AO13" i="42"/>
  <c r="AP13" i="42" s="1"/>
  <c r="AS13" i="42" s="1"/>
  <c r="AM13" i="42"/>
  <c r="AY13" i="42" s="1"/>
  <c r="AL13" i="42"/>
  <c r="AX13" i="42" s="1"/>
  <c r="AK13" i="42"/>
  <c r="B13" i="42"/>
  <c r="A13" i="42"/>
  <c r="AQ12" i="42"/>
  <c r="AR12" i="42" s="1"/>
  <c r="AT12" i="42" s="1"/>
  <c r="AO12" i="42"/>
  <c r="AP12" i="42" s="1"/>
  <c r="AS12" i="42" s="1"/>
  <c r="AM12" i="42"/>
  <c r="AY12" i="42" s="1"/>
  <c r="AL12" i="42"/>
  <c r="AX12" i="42" s="1"/>
  <c r="AK12" i="42"/>
  <c r="B12" i="42"/>
  <c r="A12" i="42"/>
  <c r="AQ11" i="42"/>
  <c r="AR11" i="42" s="1"/>
  <c r="AT11" i="42" s="1"/>
  <c r="AO11" i="42"/>
  <c r="AP11" i="42" s="1"/>
  <c r="AS11" i="42" s="1"/>
  <c r="AM11" i="42"/>
  <c r="AL11" i="42"/>
  <c r="AK11" i="42"/>
  <c r="B11" i="42"/>
  <c r="A11" i="42"/>
  <c r="AQ10" i="42"/>
  <c r="AR10" i="42" s="1"/>
  <c r="AT10" i="42" s="1"/>
  <c r="AO10" i="42"/>
  <c r="AM10" i="42"/>
  <c r="AY10" i="42" s="1"/>
  <c r="AL10" i="42"/>
  <c r="AX10" i="42" s="1"/>
  <c r="AK10" i="42"/>
  <c r="B10" i="42"/>
  <c r="A10" i="42"/>
  <c r="AQ9" i="42"/>
  <c r="AR9" i="42" s="1"/>
  <c r="AT9" i="42" s="1"/>
  <c r="AO9" i="42"/>
  <c r="AP9" i="42" s="1"/>
  <c r="AS9" i="42" s="1"/>
  <c r="AM9" i="42"/>
  <c r="AY9" i="42" s="1"/>
  <c r="AL9" i="42"/>
  <c r="AX9" i="42" s="1"/>
  <c r="AK9" i="42"/>
  <c r="B9" i="42"/>
  <c r="A9" i="42"/>
  <c r="AY8" i="42"/>
  <c r="AX8" i="42"/>
  <c r="AW8" i="42"/>
  <c r="AI7" i="42"/>
  <c r="AM7" i="42" s="1"/>
  <c r="W7" i="42"/>
  <c r="AL7" i="42" s="1"/>
  <c r="C7" i="42"/>
  <c r="AK7" i="42" s="1"/>
  <c r="BB5" i="42"/>
  <c r="BA5" i="42"/>
  <c r="AZ5" i="42"/>
  <c r="BB4" i="42"/>
  <c r="BA4" i="42"/>
  <c r="AZ4" i="42"/>
  <c r="AQ68" i="41"/>
  <c r="AR68" i="41" s="1"/>
  <c r="AT68" i="41" s="1"/>
  <c r="AO68" i="41"/>
  <c r="AP68" i="41" s="1"/>
  <c r="AS68" i="41" s="1"/>
  <c r="AM68" i="41"/>
  <c r="AL68" i="41"/>
  <c r="AK68" i="41"/>
  <c r="B68" i="41"/>
  <c r="A68" i="41"/>
  <c r="AQ67" i="41"/>
  <c r="AR67" i="41" s="1"/>
  <c r="AT67" i="41" s="1"/>
  <c r="AO67" i="41"/>
  <c r="AP67" i="41" s="1"/>
  <c r="AS67" i="41" s="1"/>
  <c r="AM67" i="41"/>
  <c r="AL67" i="41"/>
  <c r="AK67" i="41"/>
  <c r="B67" i="41"/>
  <c r="A67" i="41"/>
  <c r="AQ66" i="41"/>
  <c r="AR66" i="41" s="1"/>
  <c r="AT66" i="41" s="1"/>
  <c r="AO66" i="41"/>
  <c r="AP66" i="41" s="1"/>
  <c r="AS66" i="41" s="1"/>
  <c r="AM66" i="41"/>
  <c r="AL66" i="41"/>
  <c r="AK66" i="41"/>
  <c r="AW66" i="41" s="1"/>
  <c r="B66" i="41"/>
  <c r="A66" i="41"/>
  <c r="AQ65" i="41"/>
  <c r="AR65" i="41" s="1"/>
  <c r="AT65" i="41" s="1"/>
  <c r="AO65" i="41"/>
  <c r="AP65" i="41" s="1"/>
  <c r="AS65" i="41" s="1"/>
  <c r="AM65" i="41"/>
  <c r="AL65" i="41"/>
  <c r="AK65" i="41"/>
  <c r="B65" i="41"/>
  <c r="A65" i="41"/>
  <c r="AQ64" i="41"/>
  <c r="AR64" i="41" s="1"/>
  <c r="AT64" i="41" s="1"/>
  <c r="AO64" i="41"/>
  <c r="AP64" i="41" s="1"/>
  <c r="AS64" i="41" s="1"/>
  <c r="AM64" i="41"/>
  <c r="AL64" i="41"/>
  <c r="AK64" i="41"/>
  <c r="AW64" i="41" s="1"/>
  <c r="B64" i="41"/>
  <c r="A64" i="41"/>
  <c r="AQ63" i="41"/>
  <c r="AR63" i="41" s="1"/>
  <c r="AT63" i="41" s="1"/>
  <c r="AO63" i="41"/>
  <c r="AP63" i="41" s="1"/>
  <c r="AS63" i="41" s="1"/>
  <c r="AM63" i="41"/>
  <c r="AL63" i="41"/>
  <c r="AK63" i="41"/>
  <c r="AW63" i="41" s="1"/>
  <c r="B63" i="41"/>
  <c r="A63" i="41"/>
  <c r="AQ62" i="41"/>
  <c r="AR62" i="41" s="1"/>
  <c r="AT62" i="41" s="1"/>
  <c r="AO62" i="41"/>
  <c r="AP62" i="41" s="1"/>
  <c r="AS62" i="41" s="1"/>
  <c r="AM62" i="41"/>
  <c r="AL62" i="41"/>
  <c r="AK62" i="41"/>
  <c r="AW62" i="41" s="1"/>
  <c r="B62" i="41"/>
  <c r="A62" i="41"/>
  <c r="AQ61" i="41"/>
  <c r="AR61" i="41" s="1"/>
  <c r="AT61" i="41" s="1"/>
  <c r="AO61" i="41"/>
  <c r="AP61" i="41" s="1"/>
  <c r="AS61" i="41" s="1"/>
  <c r="AM61" i="41"/>
  <c r="AY61" i="41" s="1"/>
  <c r="AL61" i="41"/>
  <c r="AX61" i="41" s="1"/>
  <c r="AK61" i="41"/>
  <c r="AW61" i="41" s="1"/>
  <c r="B61" i="41"/>
  <c r="A61" i="41"/>
  <c r="AQ60" i="41"/>
  <c r="AR60" i="41" s="1"/>
  <c r="AT60" i="41" s="1"/>
  <c r="AO60" i="41"/>
  <c r="AP60" i="41" s="1"/>
  <c r="AS60" i="41" s="1"/>
  <c r="AM60" i="41"/>
  <c r="AL60" i="41"/>
  <c r="AK60" i="41"/>
  <c r="AW60" i="41" s="1"/>
  <c r="B60" i="41"/>
  <c r="A60" i="41"/>
  <c r="AQ59" i="41"/>
  <c r="AR59" i="41" s="1"/>
  <c r="AT59" i="41" s="1"/>
  <c r="AO59" i="41"/>
  <c r="AP59" i="41" s="1"/>
  <c r="AS59" i="41" s="1"/>
  <c r="AM59" i="41"/>
  <c r="AL59" i="41"/>
  <c r="AK59" i="41"/>
  <c r="B59" i="41"/>
  <c r="A59" i="41"/>
  <c r="AQ58" i="41"/>
  <c r="AR58" i="41" s="1"/>
  <c r="AT58" i="41" s="1"/>
  <c r="AO58" i="41"/>
  <c r="AP58" i="41" s="1"/>
  <c r="AS58" i="41" s="1"/>
  <c r="AM58" i="41"/>
  <c r="AL58" i="41"/>
  <c r="AK58" i="41"/>
  <c r="B58" i="41"/>
  <c r="A58" i="41"/>
  <c r="AQ57" i="41"/>
  <c r="AR57" i="41" s="1"/>
  <c r="AT57" i="41" s="1"/>
  <c r="AO57" i="41"/>
  <c r="AP57" i="41" s="1"/>
  <c r="AS57" i="41" s="1"/>
  <c r="AM57" i="41"/>
  <c r="AL57" i="41"/>
  <c r="AK57" i="41"/>
  <c r="AW57" i="41" s="1"/>
  <c r="B57" i="41"/>
  <c r="A57" i="41"/>
  <c r="AQ56" i="41"/>
  <c r="AR56" i="41" s="1"/>
  <c r="AT56" i="41" s="1"/>
  <c r="AO56" i="41"/>
  <c r="AP56" i="41" s="1"/>
  <c r="AS56" i="41" s="1"/>
  <c r="AM56" i="41"/>
  <c r="AL56" i="41"/>
  <c r="AK56" i="41"/>
  <c r="B56" i="41"/>
  <c r="A56" i="41"/>
  <c r="AQ55" i="41"/>
  <c r="AR55" i="41" s="1"/>
  <c r="AT55" i="41" s="1"/>
  <c r="AO55" i="41"/>
  <c r="AP55" i="41" s="1"/>
  <c r="AS55" i="41" s="1"/>
  <c r="AM55" i="41"/>
  <c r="AL55" i="41"/>
  <c r="AK55" i="41"/>
  <c r="AW55" i="41" s="1"/>
  <c r="B55" i="41"/>
  <c r="A55" i="41"/>
  <c r="AQ54" i="41"/>
  <c r="AR54" i="41" s="1"/>
  <c r="AT54" i="41" s="1"/>
  <c r="AO54" i="41"/>
  <c r="AP54" i="41" s="1"/>
  <c r="AS54" i="41" s="1"/>
  <c r="AM54" i="41"/>
  <c r="AL54" i="41"/>
  <c r="AK54" i="41"/>
  <c r="AW54" i="41" s="1"/>
  <c r="B54" i="41"/>
  <c r="A54" i="41"/>
  <c r="AQ53" i="41"/>
  <c r="AR53" i="41" s="1"/>
  <c r="AT53" i="41" s="1"/>
  <c r="AO53" i="41"/>
  <c r="AP53" i="41" s="1"/>
  <c r="AS53" i="41" s="1"/>
  <c r="AM53" i="41"/>
  <c r="AL53" i="41"/>
  <c r="AK53" i="41"/>
  <c r="B53" i="41"/>
  <c r="A53" i="41"/>
  <c r="AQ52" i="41"/>
  <c r="AR52" i="41" s="1"/>
  <c r="AT52" i="41" s="1"/>
  <c r="AO52" i="41"/>
  <c r="AP52" i="41" s="1"/>
  <c r="AS52" i="41" s="1"/>
  <c r="AM52" i="41"/>
  <c r="AY52" i="41" s="1"/>
  <c r="AL52" i="41"/>
  <c r="AX52" i="41" s="1"/>
  <c r="AK52" i="41"/>
  <c r="AW52" i="41" s="1"/>
  <c r="B52" i="41"/>
  <c r="A52" i="41"/>
  <c r="AQ51" i="41"/>
  <c r="AR51" i="41" s="1"/>
  <c r="AT51" i="41" s="1"/>
  <c r="AO51" i="41"/>
  <c r="AP51" i="41" s="1"/>
  <c r="AS51" i="41" s="1"/>
  <c r="AM51" i="41"/>
  <c r="AL51" i="41"/>
  <c r="AK51" i="41"/>
  <c r="AW51" i="41" s="1"/>
  <c r="B51" i="41"/>
  <c r="A51" i="41"/>
  <c r="AQ50" i="41"/>
  <c r="AR50" i="41" s="1"/>
  <c r="AT50" i="41" s="1"/>
  <c r="AO50" i="41"/>
  <c r="AP50" i="41" s="1"/>
  <c r="AS50" i="41" s="1"/>
  <c r="AM50" i="41"/>
  <c r="AY50" i="41" s="1"/>
  <c r="AL50" i="41"/>
  <c r="AK50" i="41"/>
  <c r="B50" i="41"/>
  <c r="A50" i="41"/>
  <c r="AQ49" i="41"/>
  <c r="AR49" i="41" s="1"/>
  <c r="AT49" i="41" s="1"/>
  <c r="AO49" i="41"/>
  <c r="AP49" i="41" s="1"/>
  <c r="AS49" i="41" s="1"/>
  <c r="AM49" i="41"/>
  <c r="AL49" i="41"/>
  <c r="AK49" i="41"/>
  <c r="B49" i="41"/>
  <c r="A49" i="41"/>
  <c r="AQ48" i="41"/>
  <c r="AR48" i="41" s="1"/>
  <c r="AT48" i="41" s="1"/>
  <c r="AO48" i="41"/>
  <c r="AP48" i="41" s="1"/>
  <c r="AS48" i="41" s="1"/>
  <c r="AM48" i="41"/>
  <c r="AL48" i="41"/>
  <c r="AK48" i="41"/>
  <c r="B48" i="41"/>
  <c r="A48" i="41"/>
  <c r="AQ47" i="41"/>
  <c r="AR47" i="41" s="1"/>
  <c r="AT47" i="41" s="1"/>
  <c r="AO47" i="41"/>
  <c r="AP47" i="41" s="1"/>
  <c r="AS47" i="41" s="1"/>
  <c r="AM47" i="41"/>
  <c r="AL47" i="41"/>
  <c r="AK47" i="41"/>
  <c r="B47" i="41"/>
  <c r="A47" i="41"/>
  <c r="AQ46" i="41"/>
  <c r="AR46" i="41" s="1"/>
  <c r="AT46" i="41" s="1"/>
  <c r="AO46" i="41"/>
  <c r="AP46" i="41" s="1"/>
  <c r="AS46" i="41" s="1"/>
  <c r="AM46" i="41"/>
  <c r="AL46" i="41"/>
  <c r="AK46" i="41"/>
  <c r="B46" i="41"/>
  <c r="A46" i="41"/>
  <c r="AQ45" i="41"/>
  <c r="AR45" i="41" s="1"/>
  <c r="AT45" i="41" s="1"/>
  <c r="AO45" i="41"/>
  <c r="AP45" i="41" s="1"/>
  <c r="AS45" i="41" s="1"/>
  <c r="AM45" i="41"/>
  <c r="AL45" i="41"/>
  <c r="AK45" i="41"/>
  <c r="AW45" i="41" s="1"/>
  <c r="B45" i="41"/>
  <c r="A45" i="41"/>
  <c r="AQ44" i="41"/>
  <c r="AR44" i="41" s="1"/>
  <c r="AT44" i="41" s="1"/>
  <c r="AO44" i="41"/>
  <c r="AP44" i="41" s="1"/>
  <c r="AS44" i="41" s="1"/>
  <c r="AM44" i="41"/>
  <c r="AL44" i="41"/>
  <c r="AK44" i="41"/>
  <c r="AW44" i="41" s="1"/>
  <c r="B44" i="41"/>
  <c r="A44" i="41"/>
  <c r="AQ43" i="41"/>
  <c r="AR43" i="41" s="1"/>
  <c r="AT43" i="41" s="1"/>
  <c r="AO43" i="41"/>
  <c r="AP43" i="41" s="1"/>
  <c r="AS43" i="41" s="1"/>
  <c r="AM43" i="41"/>
  <c r="AY43" i="41" s="1"/>
  <c r="AL43" i="41"/>
  <c r="AX43" i="41" s="1"/>
  <c r="AK43" i="41"/>
  <c r="AW43" i="41" s="1"/>
  <c r="B43" i="41"/>
  <c r="A43" i="41"/>
  <c r="AQ42" i="41"/>
  <c r="AR42" i="41" s="1"/>
  <c r="AT42" i="41" s="1"/>
  <c r="AO42" i="41"/>
  <c r="AP42" i="41" s="1"/>
  <c r="AS42" i="41" s="1"/>
  <c r="AM42" i="41"/>
  <c r="AL42" i="41"/>
  <c r="AK42" i="41"/>
  <c r="AW42" i="41" s="1"/>
  <c r="B42" i="41"/>
  <c r="A42" i="41"/>
  <c r="AQ41" i="41"/>
  <c r="AR41" i="41" s="1"/>
  <c r="AT41" i="41" s="1"/>
  <c r="AO41" i="41"/>
  <c r="AP41" i="41" s="1"/>
  <c r="AS41" i="41" s="1"/>
  <c r="AM41" i="41"/>
  <c r="AL41" i="41"/>
  <c r="AK41" i="41"/>
  <c r="B41" i="41"/>
  <c r="A41" i="41"/>
  <c r="AQ40" i="41"/>
  <c r="AR40" i="41" s="1"/>
  <c r="AT40" i="41" s="1"/>
  <c r="AO40" i="41"/>
  <c r="AP40" i="41" s="1"/>
  <c r="AS40" i="41" s="1"/>
  <c r="AM40" i="41"/>
  <c r="AL40" i="41"/>
  <c r="AK40" i="41"/>
  <c r="B40" i="41"/>
  <c r="A40" i="41"/>
  <c r="AQ39" i="41"/>
  <c r="AR39" i="41" s="1"/>
  <c r="AT39" i="41" s="1"/>
  <c r="AO39" i="41"/>
  <c r="AP39" i="41" s="1"/>
  <c r="AS39" i="41" s="1"/>
  <c r="AM39" i="41"/>
  <c r="AL39" i="41"/>
  <c r="AK39" i="41"/>
  <c r="AW39" i="41" s="1"/>
  <c r="B39" i="41"/>
  <c r="A39" i="41"/>
  <c r="AQ38" i="41"/>
  <c r="AR38" i="41" s="1"/>
  <c r="AT38" i="41" s="1"/>
  <c r="AO38" i="41"/>
  <c r="AP38" i="41" s="1"/>
  <c r="AS38" i="41" s="1"/>
  <c r="AM38" i="41"/>
  <c r="AL38" i="41"/>
  <c r="AK38" i="41"/>
  <c r="B38" i="41"/>
  <c r="A38" i="41"/>
  <c r="AQ37" i="41"/>
  <c r="AR37" i="41" s="1"/>
  <c r="AT37" i="41" s="1"/>
  <c r="AO37" i="41"/>
  <c r="AP37" i="41" s="1"/>
  <c r="AS37" i="41" s="1"/>
  <c r="AM37" i="41"/>
  <c r="AL37" i="41"/>
  <c r="AK37" i="41"/>
  <c r="AW37" i="41" s="1"/>
  <c r="B37" i="41"/>
  <c r="A37" i="41"/>
  <c r="AQ36" i="41"/>
  <c r="AR36" i="41" s="1"/>
  <c r="AT36" i="41" s="1"/>
  <c r="AO36" i="41"/>
  <c r="AP36" i="41" s="1"/>
  <c r="AS36" i="41" s="1"/>
  <c r="AM36" i="41"/>
  <c r="AL36" i="41"/>
  <c r="AK36" i="41"/>
  <c r="B36" i="41"/>
  <c r="A36" i="41"/>
  <c r="AQ35" i="41"/>
  <c r="AR35" i="41" s="1"/>
  <c r="AT35" i="41" s="1"/>
  <c r="AO35" i="41"/>
  <c r="AP35" i="41" s="1"/>
  <c r="AS35" i="41" s="1"/>
  <c r="AM35" i="41"/>
  <c r="AL35" i="41"/>
  <c r="AK35" i="41"/>
  <c r="AW35" i="41" s="1"/>
  <c r="B35" i="41"/>
  <c r="A35" i="41"/>
  <c r="AQ34" i="41"/>
  <c r="AR34" i="41" s="1"/>
  <c r="AT34" i="41" s="1"/>
  <c r="AO34" i="41"/>
  <c r="AP34" i="41" s="1"/>
  <c r="AS34" i="41" s="1"/>
  <c r="AM34" i="41"/>
  <c r="AL34" i="41"/>
  <c r="AK34" i="41"/>
  <c r="AW34" i="41" s="1"/>
  <c r="B34" i="41"/>
  <c r="A34" i="41"/>
  <c r="AQ33" i="41"/>
  <c r="AR33" i="41" s="1"/>
  <c r="AT33" i="41" s="1"/>
  <c r="AO33" i="41"/>
  <c r="AP33" i="41" s="1"/>
  <c r="AS33" i="41" s="1"/>
  <c r="AM33" i="41"/>
  <c r="AY33" i="41" s="1"/>
  <c r="AL33" i="41"/>
  <c r="AK33" i="41"/>
  <c r="B33" i="41"/>
  <c r="A33" i="41"/>
  <c r="AQ32" i="41"/>
  <c r="AR32" i="41" s="1"/>
  <c r="AT32" i="41" s="1"/>
  <c r="AO32" i="41"/>
  <c r="AP32" i="41" s="1"/>
  <c r="AS32" i="41" s="1"/>
  <c r="AM32" i="41"/>
  <c r="AL32" i="41"/>
  <c r="AK32" i="41"/>
  <c r="B32" i="41"/>
  <c r="A32" i="41"/>
  <c r="AQ31" i="41"/>
  <c r="AR31" i="41" s="1"/>
  <c r="AT31" i="41" s="1"/>
  <c r="AO31" i="41"/>
  <c r="AP31" i="41" s="1"/>
  <c r="AS31" i="41" s="1"/>
  <c r="AM31" i="41"/>
  <c r="AL31" i="41"/>
  <c r="AK31" i="41"/>
  <c r="B31" i="41"/>
  <c r="A31" i="41"/>
  <c r="AQ30" i="41"/>
  <c r="AR30" i="41" s="1"/>
  <c r="AT30" i="41" s="1"/>
  <c r="AO30" i="41"/>
  <c r="AP30" i="41" s="1"/>
  <c r="AS30" i="41" s="1"/>
  <c r="AM30" i="41"/>
  <c r="AL30" i="41"/>
  <c r="AK30" i="41"/>
  <c r="AW30" i="41" s="1"/>
  <c r="B30" i="41"/>
  <c r="A30" i="41"/>
  <c r="AQ29" i="41"/>
  <c r="AR29" i="41" s="1"/>
  <c r="AT29" i="41" s="1"/>
  <c r="AO29" i="41"/>
  <c r="AP29" i="41" s="1"/>
  <c r="AS29" i="41" s="1"/>
  <c r="AM29" i="41"/>
  <c r="AL29" i="41"/>
  <c r="AK29" i="41"/>
  <c r="B29" i="41"/>
  <c r="A29" i="41"/>
  <c r="AQ28" i="41"/>
  <c r="AR28" i="41" s="1"/>
  <c r="AT28" i="41" s="1"/>
  <c r="AO28" i="41"/>
  <c r="AP28" i="41" s="1"/>
  <c r="AS28" i="41" s="1"/>
  <c r="AM28" i="41"/>
  <c r="AL28" i="41"/>
  <c r="AK28" i="41"/>
  <c r="AW28" i="41" s="1"/>
  <c r="B28" i="41"/>
  <c r="A28" i="41"/>
  <c r="AQ27" i="41"/>
  <c r="AR27" i="41" s="1"/>
  <c r="AT27" i="41" s="1"/>
  <c r="AO27" i="41"/>
  <c r="AP27" i="41" s="1"/>
  <c r="AS27" i="41" s="1"/>
  <c r="AM27" i="41"/>
  <c r="AL27" i="41"/>
  <c r="AK27" i="41"/>
  <c r="AW27" i="41" s="1"/>
  <c r="B27" i="41"/>
  <c r="A27" i="41"/>
  <c r="AQ26" i="41"/>
  <c r="AR26" i="41" s="1"/>
  <c r="AT26" i="41" s="1"/>
  <c r="AO26" i="41"/>
  <c r="AP26" i="41" s="1"/>
  <c r="AS26" i="41" s="1"/>
  <c r="AM26" i="41"/>
  <c r="AL26" i="41"/>
  <c r="AK26" i="41"/>
  <c r="AW26" i="41" s="1"/>
  <c r="B26" i="41"/>
  <c r="A26" i="41"/>
  <c r="AQ25" i="41"/>
  <c r="AR25" i="41" s="1"/>
  <c r="AT25" i="41" s="1"/>
  <c r="AO25" i="41"/>
  <c r="AP25" i="41" s="1"/>
  <c r="AS25" i="41" s="1"/>
  <c r="AM25" i="41"/>
  <c r="AY25" i="41" s="1"/>
  <c r="AL25" i="41"/>
  <c r="AK25" i="41"/>
  <c r="B25" i="41"/>
  <c r="A25" i="41"/>
  <c r="AQ24" i="41"/>
  <c r="AR24" i="41" s="1"/>
  <c r="AT24" i="41" s="1"/>
  <c r="AO24" i="41"/>
  <c r="AP24" i="41" s="1"/>
  <c r="AS24" i="41" s="1"/>
  <c r="AM24" i="41"/>
  <c r="AL24" i="41"/>
  <c r="AK24" i="41"/>
  <c r="AW24" i="41" s="1"/>
  <c r="B24" i="41"/>
  <c r="A24" i="41"/>
  <c r="AQ23" i="41"/>
  <c r="AR23" i="41" s="1"/>
  <c r="AT23" i="41" s="1"/>
  <c r="AO23" i="41"/>
  <c r="AP23" i="41" s="1"/>
  <c r="AS23" i="41" s="1"/>
  <c r="AM23" i="41"/>
  <c r="AL23" i="41"/>
  <c r="AK23" i="41"/>
  <c r="B23" i="41"/>
  <c r="A23" i="41"/>
  <c r="AQ22" i="41"/>
  <c r="AR22" i="41" s="1"/>
  <c r="AT22" i="41" s="1"/>
  <c r="AO22" i="41"/>
  <c r="AP22" i="41" s="1"/>
  <c r="AS22" i="41" s="1"/>
  <c r="AM22" i="41"/>
  <c r="AL22" i="41"/>
  <c r="AK22" i="41"/>
  <c r="AW22" i="41" s="1"/>
  <c r="B22" i="41"/>
  <c r="A22" i="41"/>
  <c r="AQ21" i="41"/>
  <c r="AR21" i="41" s="1"/>
  <c r="AT21" i="41" s="1"/>
  <c r="AO21" i="41"/>
  <c r="AP21" i="41" s="1"/>
  <c r="AS21" i="41" s="1"/>
  <c r="AM21" i="41"/>
  <c r="AL21" i="41"/>
  <c r="AK21" i="41"/>
  <c r="B21" i="41"/>
  <c r="A21" i="41"/>
  <c r="AQ20" i="41"/>
  <c r="AR20" i="41" s="1"/>
  <c r="AT20" i="41" s="1"/>
  <c r="AO20" i="41"/>
  <c r="AP20" i="41" s="1"/>
  <c r="AS20" i="41" s="1"/>
  <c r="AM20" i="41"/>
  <c r="AL20" i="41"/>
  <c r="AK20" i="41"/>
  <c r="AW20" i="41" s="1"/>
  <c r="B20" i="41"/>
  <c r="A20" i="41"/>
  <c r="AQ19" i="41"/>
  <c r="AR19" i="41" s="1"/>
  <c r="AT19" i="41" s="1"/>
  <c r="AO19" i="41"/>
  <c r="AP19" i="41" s="1"/>
  <c r="AS19" i="41" s="1"/>
  <c r="AM19" i="41"/>
  <c r="AY19" i="41" s="1"/>
  <c r="AL19" i="41"/>
  <c r="AK19" i="41"/>
  <c r="AW19" i="41" s="1"/>
  <c r="B19" i="41"/>
  <c r="A19" i="41"/>
  <c r="AQ18" i="41"/>
  <c r="AR18" i="41" s="1"/>
  <c r="AT18" i="41" s="1"/>
  <c r="AO18" i="41"/>
  <c r="AP18" i="41" s="1"/>
  <c r="AS18" i="41" s="1"/>
  <c r="AM18" i="41"/>
  <c r="AL18" i="41"/>
  <c r="AK18" i="41"/>
  <c r="AW18" i="41" s="1"/>
  <c r="B18" i="41"/>
  <c r="A18" i="41"/>
  <c r="AQ17" i="41"/>
  <c r="AR17" i="41" s="1"/>
  <c r="AT17" i="41" s="1"/>
  <c r="AO17" i="41"/>
  <c r="AP17" i="41" s="1"/>
  <c r="AS17" i="41" s="1"/>
  <c r="AM17" i="41"/>
  <c r="AL17" i="41"/>
  <c r="AK17" i="41"/>
  <c r="AW17" i="41" s="1"/>
  <c r="B17" i="41"/>
  <c r="A17" i="41"/>
  <c r="AQ16" i="41"/>
  <c r="AR16" i="41" s="1"/>
  <c r="AT16" i="41" s="1"/>
  <c r="AO16" i="41"/>
  <c r="AP16" i="41" s="1"/>
  <c r="AS16" i="41" s="1"/>
  <c r="AM16" i="41"/>
  <c r="AL16" i="41"/>
  <c r="AK16" i="41"/>
  <c r="AW16" i="41" s="1"/>
  <c r="B16" i="41"/>
  <c r="A16" i="41"/>
  <c r="AQ15" i="41"/>
  <c r="AR15" i="41" s="1"/>
  <c r="AT15" i="41" s="1"/>
  <c r="AO15" i="41"/>
  <c r="AP15" i="41" s="1"/>
  <c r="AS15" i="41" s="1"/>
  <c r="AM15" i="41"/>
  <c r="AL15" i="41"/>
  <c r="AK15" i="41"/>
  <c r="AW15" i="41" s="1"/>
  <c r="B15" i="41"/>
  <c r="A15" i="41"/>
  <c r="AQ14" i="41"/>
  <c r="AR14" i="41" s="1"/>
  <c r="AT14" i="41" s="1"/>
  <c r="AO14" i="41"/>
  <c r="AP14" i="41" s="1"/>
  <c r="AS14" i="41" s="1"/>
  <c r="AM14" i="41"/>
  <c r="AL14" i="41"/>
  <c r="AK14" i="41"/>
  <c r="AW14" i="41" s="1"/>
  <c r="B14" i="41"/>
  <c r="A14" i="41"/>
  <c r="AQ13" i="41"/>
  <c r="AR13" i="41" s="1"/>
  <c r="AT13" i="41" s="1"/>
  <c r="AO13" i="41"/>
  <c r="AP13" i="41" s="1"/>
  <c r="AS13" i="41" s="1"/>
  <c r="AM13" i="41"/>
  <c r="AL13" i="41"/>
  <c r="AK13" i="41"/>
  <c r="B13" i="41"/>
  <c r="A13" i="41"/>
  <c r="AQ12" i="41"/>
  <c r="AR12" i="41" s="1"/>
  <c r="AT12" i="41" s="1"/>
  <c r="AO12" i="41"/>
  <c r="AP12" i="41" s="1"/>
  <c r="AS12" i="41" s="1"/>
  <c r="AM12" i="41"/>
  <c r="AL12" i="41"/>
  <c r="AK12" i="41"/>
  <c r="AW12" i="41" s="1"/>
  <c r="B12" i="41"/>
  <c r="A12" i="41"/>
  <c r="AQ11" i="41"/>
  <c r="AR11" i="41" s="1"/>
  <c r="AT11" i="41" s="1"/>
  <c r="AO11" i="41"/>
  <c r="AP11" i="41" s="1"/>
  <c r="AS11" i="41" s="1"/>
  <c r="AM11" i="41"/>
  <c r="AL11" i="41"/>
  <c r="AK11" i="41"/>
  <c r="AW11" i="41" s="1"/>
  <c r="B11" i="41"/>
  <c r="A11" i="41"/>
  <c r="AQ10" i="41"/>
  <c r="AO10" i="41"/>
  <c r="AM10" i="41"/>
  <c r="AL10" i="41"/>
  <c r="AK10" i="41"/>
  <c r="AW10" i="41" s="1"/>
  <c r="B10" i="41"/>
  <c r="A10" i="41"/>
  <c r="AQ9" i="41"/>
  <c r="AR9" i="41" s="1"/>
  <c r="AT9" i="41" s="1"/>
  <c r="AO9" i="41"/>
  <c r="AP9" i="41" s="1"/>
  <c r="AS9" i="41" s="1"/>
  <c r="AM9" i="41"/>
  <c r="AL9" i="41"/>
  <c r="AK9" i="41"/>
  <c r="AW9" i="41" s="1"/>
  <c r="B9" i="41"/>
  <c r="A9" i="41"/>
  <c r="AY8" i="41"/>
  <c r="AX8" i="41"/>
  <c r="AW8" i="41"/>
  <c r="AM7" i="41"/>
  <c r="AI7" i="41"/>
  <c r="W7" i="41"/>
  <c r="AL7" i="41" s="1"/>
  <c r="C7" i="41"/>
  <c r="AK7" i="41" s="1"/>
  <c r="BB5" i="41"/>
  <c r="BA5" i="41"/>
  <c r="AZ5" i="41"/>
  <c r="BB4" i="41"/>
  <c r="BA4" i="41"/>
  <c r="AZ4" i="41"/>
  <c r="AQ68" i="40"/>
  <c r="AR68" i="40" s="1"/>
  <c r="AT68" i="40" s="1"/>
  <c r="AO68" i="40"/>
  <c r="AP68" i="40" s="1"/>
  <c r="AS68" i="40" s="1"/>
  <c r="AM68" i="40"/>
  <c r="AL68" i="40"/>
  <c r="AK68" i="40"/>
  <c r="B68" i="40"/>
  <c r="A68" i="40"/>
  <c r="AQ67" i="40"/>
  <c r="AR67" i="40" s="1"/>
  <c r="AT67" i="40" s="1"/>
  <c r="AO67" i="40"/>
  <c r="AP67" i="40" s="1"/>
  <c r="AS67" i="40" s="1"/>
  <c r="AM67" i="40"/>
  <c r="AY67" i="40" s="1"/>
  <c r="AL67" i="40"/>
  <c r="AX67" i="40" s="1"/>
  <c r="AK67" i="40"/>
  <c r="B67" i="40"/>
  <c r="A67" i="40"/>
  <c r="AQ66" i="40"/>
  <c r="AR66" i="40" s="1"/>
  <c r="AT66" i="40" s="1"/>
  <c r="AO66" i="40"/>
  <c r="AP66" i="40" s="1"/>
  <c r="AS66" i="40" s="1"/>
  <c r="AM66" i="40"/>
  <c r="AL66" i="40"/>
  <c r="AK66" i="40"/>
  <c r="B66" i="40"/>
  <c r="A66" i="40"/>
  <c r="AQ65" i="40"/>
  <c r="AR65" i="40" s="1"/>
  <c r="AT65" i="40" s="1"/>
  <c r="AO65" i="40"/>
  <c r="AP65" i="40" s="1"/>
  <c r="AS65" i="40" s="1"/>
  <c r="AM65" i="40"/>
  <c r="AL65" i="40"/>
  <c r="AK65" i="40"/>
  <c r="AW65" i="40" s="1"/>
  <c r="B65" i="40"/>
  <c r="A65" i="40"/>
  <c r="AQ64" i="40"/>
  <c r="AR64" i="40" s="1"/>
  <c r="AT64" i="40" s="1"/>
  <c r="AO64" i="40"/>
  <c r="AP64" i="40" s="1"/>
  <c r="AS64" i="40" s="1"/>
  <c r="AM64" i="40"/>
  <c r="AL64" i="40"/>
  <c r="AK64" i="40"/>
  <c r="AW64" i="40" s="1"/>
  <c r="B64" i="40"/>
  <c r="A64" i="40"/>
  <c r="AQ63" i="40"/>
  <c r="AR63" i="40" s="1"/>
  <c r="AT63" i="40" s="1"/>
  <c r="AO63" i="40"/>
  <c r="AP63" i="40" s="1"/>
  <c r="AS63" i="40" s="1"/>
  <c r="AM63" i="40"/>
  <c r="AY63" i="40" s="1"/>
  <c r="AL63" i="40"/>
  <c r="AK63" i="40"/>
  <c r="AW63" i="40" s="1"/>
  <c r="B63" i="40"/>
  <c r="A63" i="40"/>
  <c r="AQ62" i="40"/>
  <c r="AR62" i="40" s="1"/>
  <c r="AT62" i="40" s="1"/>
  <c r="AO62" i="40"/>
  <c r="AP62" i="40" s="1"/>
  <c r="AS62" i="40" s="1"/>
  <c r="AM62" i="40"/>
  <c r="AY62" i="40" s="1"/>
  <c r="AL62" i="40"/>
  <c r="AK62" i="40"/>
  <c r="AW62" i="40" s="1"/>
  <c r="B62" i="40"/>
  <c r="A62" i="40"/>
  <c r="AQ61" i="40"/>
  <c r="AR61" i="40" s="1"/>
  <c r="AT61" i="40" s="1"/>
  <c r="AO61" i="40"/>
  <c r="AP61" i="40" s="1"/>
  <c r="AS61" i="40" s="1"/>
  <c r="AM61" i="40"/>
  <c r="AL61" i="40"/>
  <c r="AK61" i="40"/>
  <c r="AW61" i="40" s="1"/>
  <c r="B61" i="40"/>
  <c r="A61" i="40"/>
  <c r="AQ60" i="40"/>
  <c r="AR60" i="40" s="1"/>
  <c r="AT60" i="40" s="1"/>
  <c r="AO60" i="40"/>
  <c r="AP60" i="40" s="1"/>
  <c r="AS60" i="40" s="1"/>
  <c r="AM60" i="40"/>
  <c r="AL60" i="40"/>
  <c r="AK60" i="40"/>
  <c r="AW60" i="40" s="1"/>
  <c r="B60" i="40"/>
  <c r="A60" i="40"/>
  <c r="AQ59" i="40"/>
  <c r="AR59" i="40" s="1"/>
  <c r="AT59" i="40" s="1"/>
  <c r="AO59" i="40"/>
  <c r="AP59" i="40" s="1"/>
  <c r="AS59" i="40" s="1"/>
  <c r="AM59" i="40"/>
  <c r="AL59" i="40"/>
  <c r="AK59" i="40"/>
  <c r="AW59" i="40" s="1"/>
  <c r="B59" i="40"/>
  <c r="A59" i="40"/>
  <c r="AQ58" i="40"/>
  <c r="AR58" i="40" s="1"/>
  <c r="AT58" i="40" s="1"/>
  <c r="AO58" i="40"/>
  <c r="AP58" i="40" s="1"/>
  <c r="AS58" i="40" s="1"/>
  <c r="AM58" i="40"/>
  <c r="AL58" i="40"/>
  <c r="AK58" i="40"/>
  <c r="AW58" i="40" s="1"/>
  <c r="B58" i="40"/>
  <c r="A58" i="40"/>
  <c r="AQ57" i="40"/>
  <c r="AR57" i="40" s="1"/>
  <c r="AT57" i="40" s="1"/>
  <c r="AO57" i="40"/>
  <c r="AP57" i="40" s="1"/>
  <c r="AS57" i="40" s="1"/>
  <c r="AM57" i="40"/>
  <c r="AY57" i="40" s="1"/>
  <c r="AL57" i="40"/>
  <c r="AX57" i="40" s="1"/>
  <c r="AK57" i="40"/>
  <c r="AW57" i="40" s="1"/>
  <c r="B57" i="40"/>
  <c r="A57" i="40"/>
  <c r="AQ56" i="40"/>
  <c r="AR56" i="40" s="1"/>
  <c r="AT56" i="40" s="1"/>
  <c r="AO56" i="40"/>
  <c r="AP56" i="40" s="1"/>
  <c r="AS56" i="40" s="1"/>
  <c r="AM56" i="40"/>
  <c r="AL56" i="40"/>
  <c r="AX56" i="40" s="1"/>
  <c r="AK56" i="40"/>
  <c r="AW56" i="40" s="1"/>
  <c r="B56" i="40"/>
  <c r="A56" i="40"/>
  <c r="AQ55" i="40"/>
  <c r="AR55" i="40" s="1"/>
  <c r="AT55" i="40" s="1"/>
  <c r="AO55" i="40"/>
  <c r="AP55" i="40" s="1"/>
  <c r="AS55" i="40" s="1"/>
  <c r="AM55" i="40"/>
  <c r="AL55" i="40"/>
  <c r="AK55" i="40"/>
  <c r="AW55" i="40" s="1"/>
  <c r="B55" i="40"/>
  <c r="A55" i="40"/>
  <c r="AQ54" i="40"/>
  <c r="AR54" i="40" s="1"/>
  <c r="AT54" i="40" s="1"/>
  <c r="AO54" i="40"/>
  <c r="AP54" i="40" s="1"/>
  <c r="AS54" i="40" s="1"/>
  <c r="AM54" i="40"/>
  <c r="AL54" i="40"/>
  <c r="AK54" i="40"/>
  <c r="AW54" i="40" s="1"/>
  <c r="B54" i="40"/>
  <c r="A54" i="40"/>
  <c r="AQ53" i="40"/>
  <c r="AR53" i="40" s="1"/>
  <c r="AT53" i="40" s="1"/>
  <c r="AO53" i="40"/>
  <c r="AP53" i="40" s="1"/>
  <c r="AS53" i="40" s="1"/>
  <c r="AM53" i="40"/>
  <c r="AL53" i="40"/>
  <c r="AK53" i="40"/>
  <c r="B53" i="40"/>
  <c r="A53" i="40"/>
  <c r="AQ52" i="40"/>
  <c r="AR52" i="40" s="1"/>
  <c r="AT52" i="40" s="1"/>
  <c r="AO52" i="40"/>
  <c r="AP52" i="40" s="1"/>
  <c r="AS52" i="40" s="1"/>
  <c r="AM52" i="40"/>
  <c r="AL52" i="40"/>
  <c r="AK52" i="40"/>
  <c r="AW52" i="40" s="1"/>
  <c r="B52" i="40"/>
  <c r="A52" i="40"/>
  <c r="AQ51" i="40"/>
  <c r="AR51" i="40" s="1"/>
  <c r="AT51" i="40" s="1"/>
  <c r="AO51" i="40"/>
  <c r="AP51" i="40" s="1"/>
  <c r="AS51" i="40" s="1"/>
  <c r="AM51" i="40"/>
  <c r="AL51" i="40"/>
  <c r="AK51" i="40"/>
  <c r="AW51" i="40" s="1"/>
  <c r="B51" i="40"/>
  <c r="A51" i="40"/>
  <c r="AQ50" i="40"/>
  <c r="AR50" i="40" s="1"/>
  <c r="AT50" i="40" s="1"/>
  <c r="AO50" i="40"/>
  <c r="AP50" i="40" s="1"/>
  <c r="AS50" i="40" s="1"/>
  <c r="AM50" i="40"/>
  <c r="AY50" i="40" s="1"/>
  <c r="AL50" i="40"/>
  <c r="AK50" i="40"/>
  <c r="AW50" i="40" s="1"/>
  <c r="B50" i="40"/>
  <c r="A50" i="40"/>
  <c r="AQ49" i="40"/>
  <c r="AR49" i="40" s="1"/>
  <c r="AT49" i="40" s="1"/>
  <c r="AO49" i="40"/>
  <c r="AP49" i="40" s="1"/>
  <c r="AS49" i="40" s="1"/>
  <c r="AM49" i="40"/>
  <c r="AY49" i="40" s="1"/>
  <c r="AL49" i="40"/>
  <c r="AX49" i="40" s="1"/>
  <c r="AK49" i="40"/>
  <c r="AW49" i="40" s="1"/>
  <c r="B49" i="40"/>
  <c r="A49" i="40"/>
  <c r="AQ48" i="40"/>
  <c r="AR48" i="40" s="1"/>
  <c r="AT48" i="40" s="1"/>
  <c r="AO48" i="40"/>
  <c r="AP48" i="40" s="1"/>
  <c r="AS48" i="40" s="1"/>
  <c r="AM48" i="40"/>
  <c r="AL48" i="40"/>
  <c r="AK48" i="40"/>
  <c r="B48" i="40"/>
  <c r="A48" i="40"/>
  <c r="AQ47" i="40"/>
  <c r="AR47" i="40" s="1"/>
  <c r="AT47" i="40" s="1"/>
  <c r="AO47" i="40"/>
  <c r="AP47" i="40" s="1"/>
  <c r="AS47" i="40" s="1"/>
  <c r="AM47" i="40"/>
  <c r="AL47" i="40"/>
  <c r="AK47" i="40"/>
  <c r="AW47" i="40" s="1"/>
  <c r="B47" i="40"/>
  <c r="A47" i="40"/>
  <c r="AQ46" i="40"/>
  <c r="AR46" i="40" s="1"/>
  <c r="AT46" i="40" s="1"/>
  <c r="AO46" i="40"/>
  <c r="AP46" i="40" s="1"/>
  <c r="AS46" i="40" s="1"/>
  <c r="AM46" i="40"/>
  <c r="AY46" i="40" s="1"/>
  <c r="AL46" i="40"/>
  <c r="AK46" i="40"/>
  <c r="AW46" i="40" s="1"/>
  <c r="B46" i="40"/>
  <c r="A46" i="40"/>
  <c r="AQ45" i="40"/>
  <c r="AR45" i="40" s="1"/>
  <c r="AT45" i="40" s="1"/>
  <c r="AO45" i="40"/>
  <c r="AP45" i="40" s="1"/>
  <c r="AS45" i="40" s="1"/>
  <c r="AM45" i="40"/>
  <c r="AY45" i="40" s="1"/>
  <c r="AL45" i="40"/>
  <c r="AK45" i="40"/>
  <c r="AW45" i="40" s="1"/>
  <c r="B45" i="40"/>
  <c r="A45" i="40"/>
  <c r="AQ44" i="40"/>
  <c r="AR44" i="40" s="1"/>
  <c r="AT44" i="40" s="1"/>
  <c r="AO44" i="40"/>
  <c r="AP44" i="40" s="1"/>
  <c r="AS44" i="40" s="1"/>
  <c r="AM44" i="40"/>
  <c r="AL44" i="40"/>
  <c r="AK44" i="40"/>
  <c r="AW44" i="40" s="1"/>
  <c r="B44" i="40"/>
  <c r="A44" i="40"/>
  <c r="AQ43" i="40"/>
  <c r="AR43" i="40" s="1"/>
  <c r="AT43" i="40" s="1"/>
  <c r="AO43" i="40"/>
  <c r="AP43" i="40" s="1"/>
  <c r="AS43" i="40" s="1"/>
  <c r="AM43" i="40"/>
  <c r="AL43" i="40"/>
  <c r="AK43" i="40"/>
  <c r="AW43" i="40" s="1"/>
  <c r="B43" i="40"/>
  <c r="A43" i="40"/>
  <c r="AQ42" i="40"/>
  <c r="AR42" i="40" s="1"/>
  <c r="AT42" i="40" s="1"/>
  <c r="AO42" i="40"/>
  <c r="AP42" i="40" s="1"/>
  <c r="AS42" i="40" s="1"/>
  <c r="AM42" i="40"/>
  <c r="AL42" i="40"/>
  <c r="AX42" i="40" s="1"/>
  <c r="AK42" i="40"/>
  <c r="AW42" i="40" s="1"/>
  <c r="B42" i="40"/>
  <c r="A42" i="40"/>
  <c r="AQ41" i="40"/>
  <c r="AR41" i="40" s="1"/>
  <c r="AT41" i="40" s="1"/>
  <c r="AO41" i="40"/>
  <c r="AP41" i="40" s="1"/>
  <c r="AS41" i="40" s="1"/>
  <c r="AM41" i="40"/>
  <c r="AL41" i="40"/>
  <c r="AK41" i="40"/>
  <c r="AW41" i="40" s="1"/>
  <c r="B41" i="40"/>
  <c r="A41" i="40"/>
  <c r="AQ40" i="40"/>
  <c r="AR40" i="40" s="1"/>
  <c r="AT40" i="40" s="1"/>
  <c r="AO40" i="40"/>
  <c r="AP40" i="40" s="1"/>
  <c r="AS40" i="40" s="1"/>
  <c r="AM40" i="40"/>
  <c r="AL40" i="40"/>
  <c r="AK40" i="40"/>
  <c r="AW40" i="40" s="1"/>
  <c r="B40" i="40"/>
  <c r="A40" i="40"/>
  <c r="AQ39" i="40"/>
  <c r="AR39" i="40" s="1"/>
  <c r="AT39" i="40" s="1"/>
  <c r="AO39" i="40"/>
  <c r="AP39" i="40" s="1"/>
  <c r="AS39" i="40" s="1"/>
  <c r="AM39" i="40"/>
  <c r="AL39" i="40"/>
  <c r="AK39" i="40"/>
  <c r="AW39" i="40" s="1"/>
  <c r="B39" i="40"/>
  <c r="A39" i="40"/>
  <c r="AQ38" i="40"/>
  <c r="AR38" i="40" s="1"/>
  <c r="AT38" i="40" s="1"/>
  <c r="AO38" i="40"/>
  <c r="AP38" i="40" s="1"/>
  <c r="AS38" i="40" s="1"/>
  <c r="AM38" i="40"/>
  <c r="AL38" i="40"/>
  <c r="AK38" i="40"/>
  <c r="AW38" i="40" s="1"/>
  <c r="B38" i="40"/>
  <c r="A38" i="40"/>
  <c r="AQ37" i="40"/>
  <c r="AR37" i="40" s="1"/>
  <c r="AT37" i="40" s="1"/>
  <c r="AO37" i="40"/>
  <c r="AP37" i="40" s="1"/>
  <c r="AS37" i="40" s="1"/>
  <c r="AM37" i="40"/>
  <c r="AL37" i="40"/>
  <c r="AK37" i="40"/>
  <c r="AW37" i="40" s="1"/>
  <c r="B37" i="40"/>
  <c r="A37" i="40"/>
  <c r="AQ36" i="40"/>
  <c r="AR36" i="40" s="1"/>
  <c r="AT36" i="40" s="1"/>
  <c r="AO36" i="40"/>
  <c r="AP36" i="40" s="1"/>
  <c r="AS36" i="40" s="1"/>
  <c r="AM36" i="40"/>
  <c r="AL36" i="40"/>
  <c r="AK36" i="40"/>
  <c r="AW36" i="40" s="1"/>
  <c r="B36" i="40"/>
  <c r="A36" i="40"/>
  <c r="AQ35" i="40"/>
  <c r="AR35" i="40" s="1"/>
  <c r="AT35" i="40" s="1"/>
  <c r="AO35" i="40"/>
  <c r="AP35" i="40" s="1"/>
  <c r="AS35" i="40" s="1"/>
  <c r="AM35" i="40"/>
  <c r="AL35" i="40"/>
  <c r="AK35" i="40"/>
  <c r="B35" i="40"/>
  <c r="A35" i="40"/>
  <c r="AQ34" i="40"/>
  <c r="AR34" i="40" s="1"/>
  <c r="AT34" i="40" s="1"/>
  <c r="AO34" i="40"/>
  <c r="AP34" i="40" s="1"/>
  <c r="AS34" i="40" s="1"/>
  <c r="AM34" i="40"/>
  <c r="AL34" i="40"/>
  <c r="AK34" i="40"/>
  <c r="AW34" i="40" s="1"/>
  <c r="B34" i="40"/>
  <c r="A34" i="40"/>
  <c r="AQ33" i="40"/>
  <c r="AR33" i="40" s="1"/>
  <c r="AT33" i="40" s="1"/>
  <c r="AO33" i="40"/>
  <c r="AP33" i="40" s="1"/>
  <c r="AS33" i="40" s="1"/>
  <c r="AM33" i="40"/>
  <c r="AL33" i="40"/>
  <c r="AK33" i="40"/>
  <c r="AW33" i="40" s="1"/>
  <c r="B33" i="40"/>
  <c r="A33" i="40"/>
  <c r="AQ32" i="40"/>
  <c r="AR32" i="40" s="1"/>
  <c r="AT32" i="40" s="1"/>
  <c r="AO32" i="40"/>
  <c r="AP32" i="40" s="1"/>
  <c r="AS32" i="40" s="1"/>
  <c r="AM32" i="40"/>
  <c r="AY32" i="40" s="1"/>
  <c r="AL32" i="40"/>
  <c r="AK32" i="40"/>
  <c r="B32" i="40"/>
  <c r="A32" i="40"/>
  <c r="AQ31" i="40"/>
  <c r="AR31" i="40" s="1"/>
  <c r="AT31" i="40" s="1"/>
  <c r="AO31" i="40"/>
  <c r="AP31" i="40" s="1"/>
  <c r="AS31" i="40" s="1"/>
  <c r="AM31" i="40"/>
  <c r="AL31" i="40"/>
  <c r="AK31" i="40"/>
  <c r="AW31" i="40" s="1"/>
  <c r="B31" i="40"/>
  <c r="A31" i="40"/>
  <c r="AQ30" i="40"/>
  <c r="AR30" i="40" s="1"/>
  <c r="AT30" i="40" s="1"/>
  <c r="AO30" i="40"/>
  <c r="AP30" i="40" s="1"/>
  <c r="AS30" i="40" s="1"/>
  <c r="AM30" i="40"/>
  <c r="AL30" i="40"/>
  <c r="AK30" i="40"/>
  <c r="AW30" i="40" s="1"/>
  <c r="B30" i="40"/>
  <c r="A30" i="40"/>
  <c r="AQ29" i="40"/>
  <c r="AR29" i="40" s="1"/>
  <c r="AT29" i="40" s="1"/>
  <c r="AO29" i="40"/>
  <c r="AP29" i="40" s="1"/>
  <c r="AS29" i="40" s="1"/>
  <c r="AM29" i="40"/>
  <c r="AL29" i="40"/>
  <c r="AX29" i="40" s="1"/>
  <c r="AK29" i="40"/>
  <c r="AW29" i="40" s="1"/>
  <c r="B29" i="40"/>
  <c r="A29" i="40"/>
  <c r="AQ28" i="40"/>
  <c r="AR28" i="40" s="1"/>
  <c r="AT28" i="40" s="1"/>
  <c r="AO28" i="40"/>
  <c r="AP28" i="40" s="1"/>
  <c r="AS28" i="40" s="1"/>
  <c r="AM28" i="40"/>
  <c r="AL28" i="40"/>
  <c r="AK28" i="40"/>
  <c r="B28" i="40"/>
  <c r="A28" i="40"/>
  <c r="AQ27" i="40"/>
  <c r="AR27" i="40" s="1"/>
  <c r="AT27" i="40" s="1"/>
  <c r="AO27" i="40"/>
  <c r="AP27" i="40" s="1"/>
  <c r="AS27" i="40" s="1"/>
  <c r="AM27" i="40"/>
  <c r="AY27" i="40" s="1"/>
  <c r="AL27" i="40"/>
  <c r="AX27" i="40" s="1"/>
  <c r="AK27" i="40"/>
  <c r="AW27" i="40" s="1"/>
  <c r="B27" i="40"/>
  <c r="A27" i="40"/>
  <c r="AQ26" i="40"/>
  <c r="AR26" i="40" s="1"/>
  <c r="AT26" i="40" s="1"/>
  <c r="AO26" i="40"/>
  <c r="AP26" i="40" s="1"/>
  <c r="AS26" i="40" s="1"/>
  <c r="AM26" i="40"/>
  <c r="AL26" i="40"/>
  <c r="AK26" i="40"/>
  <c r="B26" i="40"/>
  <c r="A26" i="40"/>
  <c r="AQ25" i="40"/>
  <c r="AR25" i="40" s="1"/>
  <c r="AT25" i="40" s="1"/>
  <c r="AO25" i="40"/>
  <c r="AP25" i="40" s="1"/>
  <c r="AS25" i="40" s="1"/>
  <c r="AM25" i="40"/>
  <c r="AL25" i="40"/>
  <c r="AK25" i="40"/>
  <c r="AW25" i="40" s="1"/>
  <c r="B25" i="40"/>
  <c r="A25" i="40"/>
  <c r="AQ24" i="40"/>
  <c r="AR24" i="40" s="1"/>
  <c r="AT24" i="40" s="1"/>
  <c r="AO24" i="40"/>
  <c r="AP24" i="40" s="1"/>
  <c r="AS24" i="40" s="1"/>
  <c r="AM24" i="40"/>
  <c r="AL24" i="40"/>
  <c r="AK24" i="40"/>
  <c r="AW24" i="40" s="1"/>
  <c r="B24" i="40"/>
  <c r="A24" i="40"/>
  <c r="AQ23" i="40"/>
  <c r="AR23" i="40" s="1"/>
  <c r="AT23" i="40" s="1"/>
  <c r="AO23" i="40"/>
  <c r="AP23" i="40" s="1"/>
  <c r="AS23" i="40" s="1"/>
  <c r="AM23" i="40"/>
  <c r="AL23" i="40"/>
  <c r="AK23" i="40"/>
  <c r="AW23" i="40" s="1"/>
  <c r="B23" i="40"/>
  <c r="A23" i="40"/>
  <c r="AQ22" i="40"/>
  <c r="AR22" i="40" s="1"/>
  <c r="AT22" i="40" s="1"/>
  <c r="AO22" i="40"/>
  <c r="AP22" i="40" s="1"/>
  <c r="AS22" i="40" s="1"/>
  <c r="AM22" i="40"/>
  <c r="AL22" i="40"/>
  <c r="AK22" i="40"/>
  <c r="AW22" i="40" s="1"/>
  <c r="B22" i="40"/>
  <c r="A22" i="40"/>
  <c r="AQ21" i="40"/>
  <c r="AR21" i="40" s="1"/>
  <c r="AT21" i="40" s="1"/>
  <c r="AO21" i="40"/>
  <c r="AP21" i="40" s="1"/>
  <c r="AS21" i="40" s="1"/>
  <c r="AM21" i="40"/>
  <c r="AY21" i="40" s="1"/>
  <c r="AL21" i="40"/>
  <c r="AX21" i="40" s="1"/>
  <c r="AK21" i="40"/>
  <c r="AW21" i="40" s="1"/>
  <c r="B21" i="40"/>
  <c r="A21" i="40"/>
  <c r="AQ20" i="40"/>
  <c r="AR20" i="40" s="1"/>
  <c r="AT20" i="40" s="1"/>
  <c r="AO20" i="40"/>
  <c r="AP20" i="40" s="1"/>
  <c r="AS20" i="40" s="1"/>
  <c r="AM20" i="40"/>
  <c r="AY20" i="40" s="1"/>
  <c r="AL20" i="40"/>
  <c r="AK20" i="40"/>
  <c r="AW20" i="40" s="1"/>
  <c r="B20" i="40"/>
  <c r="A20" i="40"/>
  <c r="AQ19" i="40"/>
  <c r="AR19" i="40" s="1"/>
  <c r="AT19" i="40" s="1"/>
  <c r="AO19" i="40"/>
  <c r="AP19" i="40" s="1"/>
  <c r="AS19" i="40" s="1"/>
  <c r="AM19" i="40"/>
  <c r="AL19" i="40"/>
  <c r="AK19" i="40"/>
  <c r="AW19" i="40" s="1"/>
  <c r="B19" i="40"/>
  <c r="A19" i="40"/>
  <c r="AQ18" i="40"/>
  <c r="AR18" i="40" s="1"/>
  <c r="AT18" i="40" s="1"/>
  <c r="AO18" i="40"/>
  <c r="AP18" i="40" s="1"/>
  <c r="AS18" i="40" s="1"/>
  <c r="AM18" i="40"/>
  <c r="AL18" i="40"/>
  <c r="AK18" i="40"/>
  <c r="AW18" i="40" s="1"/>
  <c r="B18" i="40"/>
  <c r="A18" i="40"/>
  <c r="AQ17" i="40"/>
  <c r="AR17" i="40" s="1"/>
  <c r="AT17" i="40" s="1"/>
  <c r="AO17" i="40"/>
  <c r="AP17" i="40" s="1"/>
  <c r="AS17" i="40" s="1"/>
  <c r="AM17" i="40"/>
  <c r="AY17" i="40" s="1"/>
  <c r="AL17" i="40"/>
  <c r="AK17" i="40"/>
  <c r="B17" i="40"/>
  <c r="A17" i="40"/>
  <c r="AQ16" i="40"/>
  <c r="AR16" i="40" s="1"/>
  <c r="AT16" i="40" s="1"/>
  <c r="AO16" i="40"/>
  <c r="AP16" i="40" s="1"/>
  <c r="AS16" i="40" s="1"/>
  <c r="AM16" i="40"/>
  <c r="AL16" i="40"/>
  <c r="AK16" i="40"/>
  <c r="AW16" i="40" s="1"/>
  <c r="B16" i="40"/>
  <c r="A16" i="40"/>
  <c r="AQ15" i="40"/>
  <c r="AR15" i="40" s="1"/>
  <c r="AT15" i="40" s="1"/>
  <c r="AO15" i="40"/>
  <c r="AP15" i="40" s="1"/>
  <c r="AS15" i="40" s="1"/>
  <c r="AM15" i="40"/>
  <c r="AL15" i="40"/>
  <c r="AK15" i="40"/>
  <c r="AW15" i="40" s="1"/>
  <c r="B15" i="40"/>
  <c r="A15" i="40"/>
  <c r="AQ14" i="40"/>
  <c r="AR14" i="40" s="1"/>
  <c r="AT14" i="40" s="1"/>
  <c r="AO14" i="40"/>
  <c r="AP14" i="40" s="1"/>
  <c r="AS14" i="40" s="1"/>
  <c r="AM14" i="40"/>
  <c r="AL14" i="40"/>
  <c r="AK14" i="40"/>
  <c r="AW14" i="40" s="1"/>
  <c r="B14" i="40"/>
  <c r="A14" i="40"/>
  <c r="AQ13" i="40"/>
  <c r="AR13" i="40" s="1"/>
  <c r="AT13" i="40" s="1"/>
  <c r="AO13" i="40"/>
  <c r="AP13" i="40" s="1"/>
  <c r="AS13" i="40" s="1"/>
  <c r="AM13" i="40"/>
  <c r="AL13" i="40"/>
  <c r="AX13" i="40" s="1"/>
  <c r="AK13" i="40"/>
  <c r="AW13" i="40" s="1"/>
  <c r="B13" i="40"/>
  <c r="A13" i="40"/>
  <c r="AQ12" i="40"/>
  <c r="AR12" i="40" s="1"/>
  <c r="AT12" i="40" s="1"/>
  <c r="AO12" i="40"/>
  <c r="AP12" i="40" s="1"/>
  <c r="AS12" i="40" s="1"/>
  <c r="AM12" i="40"/>
  <c r="AY12" i="40" s="1"/>
  <c r="AL12" i="40"/>
  <c r="AX12" i="40" s="1"/>
  <c r="AK12" i="40"/>
  <c r="AW12" i="40" s="1"/>
  <c r="B12" i="40"/>
  <c r="A12" i="40"/>
  <c r="AQ11" i="40"/>
  <c r="AR11" i="40" s="1"/>
  <c r="AT11" i="40" s="1"/>
  <c r="AO11" i="40"/>
  <c r="AP11" i="40" s="1"/>
  <c r="AS11" i="40" s="1"/>
  <c r="AM11" i="40"/>
  <c r="AY11" i="40" s="1"/>
  <c r="AL11" i="40"/>
  <c r="AK11" i="40"/>
  <c r="B11" i="40"/>
  <c r="A11" i="40"/>
  <c r="AQ10" i="40"/>
  <c r="AR10" i="40" s="1"/>
  <c r="AT10" i="40" s="1"/>
  <c r="AO10" i="40"/>
  <c r="AP10" i="40" s="1"/>
  <c r="AS10" i="40" s="1"/>
  <c r="AM10" i="40"/>
  <c r="AL10" i="40"/>
  <c r="AK10" i="40"/>
  <c r="AW10" i="40" s="1"/>
  <c r="B10" i="40"/>
  <c r="A10" i="40"/>
  <c r="AQ9" i="40"/>
  <c r="AR9" i="40" s="1"/>
  <c r="AT9" i="40" s="1"/>
  <c r="AO9" i="40"/>
  <c r="AP9" i="40" s="1"/>
  <c r="AS9" i="40" s="1"/>
  <c r="AM9" i="40"/>
  <c r="AL9" i="40"/>
  <c r="AK9" i="40"/>
  <c r="AW9" i="40" s="1"/>
  <c r="B9" i="40"/>
  <c r="A9" i="40"/>
  <c r="AY8" i="40"/>
  <c r="AX8" i="40"/>
  <c r="BA4" i="40" s="1"/>
  <c r="AW8" i="40"/>
  <c r="AZ4" i="40" s="1"/>
  <c r="AI7" i="40"/>
  <c r="AM7" i="40" s="1"/>
  <c r="W7" i="40"/>
  <c r="AL7" i="40" s="1"/>
  <c r="C7" i="40"/>
  <c r="AK7" i="40" s="1"/>
  <c r="BB5" i="40"/>
  <c r="BA5" i="40"/>
  <c r="AZ5" i="40"/>
  <c r="BB4" i="40"/>
  <c r="AQ68" i="39"/>
  <c r="AR68" i="39" s="1"/>
  <c r="AT68" i="39" s="1"/>
  <c r="AO68" i="39"/>
  <c r="AP68" i="39" s="1"/>
  <c r="AS68" i="39" s="1"/>
  <c r="AM68" i="39"/>
  <c r="AY68" i="39" s="1"/>
  <c r="AL68" i="39"/>
  <c r="AX68" i="39" s="1"/>
  <c r="AK68" i="39"/>
  <c r="B68" i="39"/>
  <c r="A68" i="39"/>
  <c r="AQ67" i="39"/>
  <c r="AR67" i="39" s="1"/>
  <c r="AT67" i="39" s="1"/>
  <c r="AO67" i="39"/>
  <c r="AP67" i="39" s="1"/>
  <c r="AS67" i="39" s="1"/>
  <c r="AM67" i="39"/>
  <c r="AL67" i="39"/>
  <c r="AX67" i="39" s="1"/>
  <c r="AK67" i="39"/>
  <c r="B67" i="39"/>
  <c r="A67" i="39"/>
  <c r="AQ66" i="39"/>
  <c r="AR66" i="39" s="1"/>
  <c r="AT66" i="39" s="1"/>
  <c r="AO66" i="39"/>
  <c r="AP66" i="39" s="1"/>
  <c r="AS66" i="39" s="1"/>
  <c r="AM66" i="39"/>
  <c r="AY66" i="39" s="1"/>
  <c r="AL66" i="39"/>
  <c r="AX66" i="39" s="1"/>
  <c r="AK66" i="39"/>
  <c r="AW66" i="39" s="1"/>
  <c r="B66" i="39"/>
  <c r="A66" i="39"/>
  <c r="AQ65" i="39"/>
  <c r="AR65" i="39" s="1"/>
  <c r="AT65" i="39" s="1"/>
  <c r="AO65" i="39"/>
  <c r="AP65" i="39" s="1"/>
  <c r="AS65" i="39" s="1"/>
  <c r="AM65" i="39"/>
  <c r="AY65" i="39" s="1"/>
  <c r="AL65" i="39"/>
  <c r="AX65" i="39" s="1"/>
  <c r="AK65" i="39"/>
  <c r="B65" i="39"/>
  <c r="A65" i="39"/>
  <c r="AQ64" i="39"/>
  <c r="AR64" i="39" s="1"/>
  <c r="AT64" i="39" s="1"/>
  <c r="AO64" i="39"/>
  <c r="AP64" i="39" s="1"/>
  <c r="AS64" i="39" s="1"/>
  <c r="AM64" i="39"/>
  <c r="AL64" i="39"/>
  <c r="AX64" i="39" s="1"/>
  <c r="AK64" i="39"/>
  <c r="B64" i="39"/>
  <c r="A64" i="39"/>
  <c r="AQ63" i="39"/>
  <c r="AR63" i="39" s="1"/>
  <c r="AT63" i="39" s="1"/>
  <c r="AO63" i="39"/>
  <c r="AP63" i="39" s="1"/>
  <c r="AS63" i="39" s="1"/>
  <c r="AM63" i="39"/>
  <c r="AY63" i="39" s="1"/>
  <c r="AL63" i="39"/>
  <c r="AX63" i="39" s="1"/>
  <c r="AK63" i="39"/>
  <c r="B63" i="39"/>
  <c r="A63" i="39"/>
  <c r="AQ62" i="39"/>
  <c r="AR62" i="39" s="1"/>
  <c r="AT62" i="39" s="1"/>
  <c r="AO62" i="39"/>
  <c r="AP62" i="39" s="1"/>
  <c r="AS62" i="39" s="1"/>
  <c r="AM62" i="39"/>
  <c r="AY62" i="39" s="1"/>
  <c r="AL62" i="39"/>
  <c r="AK62" i="39"/>
  <c r="B62" i="39"/>
  <c r="A62" i="39"/>
  <c r="AQ61" i="39"/>
  <c r="AR61" i="39" s="1"/>
  <c r="AT61" i="39" s="1"/>
  <c r="AO61" i="39"/>
  <c r="AP61" i="39" s="1"/>
  <c r="AS61" i="39" s="1"/>
  <c r="AM61" i="39"/>
  <c r="AL61" i="39"/>
  <c r="AX61" i="39" s="1"/>
  <c r="AK61" i="39"/>
  <c r="B61" i="39"/>
  <c r="A61" i="39"/>
  <c r="AQ60" i="39"/>
  <c r="AR60" i="39" s="1"/>
  <c r="AT60" i="39" s="1"/>
  <c r="AO60" i="39"/>
  <c r="AP60" i="39" s="1"/>
  <c r="AS60" i="39" s="1"/>
  <c r="AM60" i="39"/>
  <c r="AY60" i="39" s="1"/>
  <c r="AL60" i="39"/>
  <c r="AX60" i="39" s="1"/>
  <c r="AK60" i="39"/>
  <c r="AW60" i="39" s="1"/>
  <c r="B60" i="39"/>
  <c r="A60" i="39"/>
  <c r="AQ59" i="39"/>
  <c r="AR59" i="39" s="1"/>
  <c r="AT59" i="39" s="1"/>
  <c r="AO59" i="39"/>
  <c r="AP59" i="39" s="1"/>
  <c r="AS59" i="39" s="1"/>
  <c r="AM59" i="39"/>
  <c r="AY59" i="39" s="1"/>
  <c r="AL59" i="39"/>
  <c r="AK59" i="39"/>
  <c r="B59" i="39"/>
  <c r="A59" i="39"/>
  <c r="AQ58" i="39"/>
  <c r="AR58" i="39" s="1"/>
  <c r="AT58" i="39" s="1"/>
  <c r="AO58" i="39"/>
  <c r="AP58" i="39" s="1"/>
  <c r="AS58" i="39" s="1"/>
  <c r="AM58" i="39"/>
  <c r="AL58" i="39"/>
  <c r="AX58" i="39" s="1"/>
  <c r="AK58" i="39"/>
  <c r="B58" i="39"/>
  <c r="A58" i="39"/>
  <c r="AQ57" i="39"/>
  <c r="AR57" i="39" s="1"/>
  <c r="AT57" i="39" s="1"/>
  <c r="AO57" i="39"/>
  <c r="AP57" i="39" s="1"/>
  <c r="AS57" i="39" s="1"/>
  <c r="AM57" i="39"/>
  <c r="AY57" i="39" s="1"/>
  <c r="AL57" i="39"/>
  <c r="AX57" i="39" s="1"/>
  <c r="AK57" i="39"/>
  <c r="B57" i="39"/>
  <c r="A57" i="39"/>
  <c r="AQ56" i="39"/>
  <c r="AR56" i="39" s="1"/>
  <c r="AT56" i="39" s="1"/>
  <c r="AO56" i="39"/>
  <c r="AP56" i="39" s="1"/>
  <c r="AS56" i="39" s="1"/>
  <c r="AM56" i="39"/>
  <c r="AY56" i="39" s="1"/>
  <c r="AL56" i="39"/>
  <c r="AK56" i="39"/>
  <c r="B56" i="39"/>
  <c r="A56" i="39"/>
  <c r="AQ55" i="39"/>
  <c r="AR55" i="39" s="1"/>
  <c r="AT55" i="39" s="1"/>
  <c r="AO55" i="39"/>
  <c r="AP55" i="39" s="1"/>
  <c r="AS55" i="39" s="1"/>
  <c r="AM55" i="39"/>
  <c r="AL55" i="39"/>
  <c r="AX55" i="39" s="1"/>
  <c r="AK55" i="39"/>
  <c r="B55" i="39"/>
  <c r="A55" i="39"/>
  <c r="AQ54" i="39"/>
  <c r="AR54" i="39" s="1"/>
  <c r="AT54" i="39" s="1"/>
  <c r="AO54" i="39"/>
  <c r="AP54" i="39" s="1"/>
  <c r="AS54" i="39" s="1"/>
  <c r="AM54" i="39"/>
  <c r="AY54" i="39" s="1"/>
  <c r="AL54" i="39"/>
  <c r="AX54" i="39" s="1"/>
  <c r="AK54" i="39"/>
  <c r="B54" i="39"/>
  <c r="A54" i="39"/>
  <c r="AQ53" i="39"/>
  <c r="AR53" i="39" s="1"/>
  <c r="AT53" i="39" s="1"/>
  <c r="AO53" i="39"/>
  <c r="AP53" i="39" s="1"/>
  <c r="AS53" i="39" s="1"/>
  <c r="AM53" i="39"/>
  <c r="AY53" i="39" s="1"/>
  <c r="AL53" i="39"/>
  <c r="AK53" i="39"/>
  <c r="B53" i="39"/>
  <c r="A53" i="39"/>
  <c r="AQ52" i="39"/>
  <c r="AR52" i="39" s="1"/>
  <c r="AT52" i="39" s="1"/>
  <c r="AO52" i="39"/>
  <c r="AP52" i="39" s="1"/>
  <c r="AS52" i="39" s="1"/>
  <c r="AM52" i="39"/>
  <c r="AL52" i="39"/>
  <c r="AX52" i="39" s="1"/>
  <c r="AK52" i="39"/>
  <c r="B52" i="39"/>
  <c r="A52" i="39"/>
  <c r="AQ51" i="39"/>
  <c r="AR51" i="39" s="1"/>
  <c r="AT51" i="39" s="1"/>
  <c r="AO51" i="39"/>
  <c r="AP51" i="39" s="1"/>
  <c r="AS51" i="39" s="1"/>
  <c r="AM51" i="39"/>
  <c r="AY51" i="39" s="1"/>
  <c r="AL51" i="39"/>
  <c r="AX51" i="39" s="1"/>
  <c r="AK51" i="39"/>
  <c r="B51" i="39"/>
  <c r="A51" i="39"/>
  <c r="AQ50" i="39"/>
  <c r="AR50" i="39" s="1"/>
  <c r="AT50" i="39" s="1"/>
  <c r="AO50" i="39"/>
  <c r="AP50" i="39" s="1"/>
  <c r="AS50" i="39" s="1"/>
  <c r="AM50" i="39"/>
  <c r="AY50" i="39" s="1"/>
  <c r="AL50" i="39"/>
  <c r="AK50" i="39"/>
  <c r="B50" i="39"/>
  <c r="A50" i="39"/>
  <c r="AQ49" i="39"/>
  <c r="AR49" i="39" s="1"/>
  <c r="AT49" i="39" s="1"/>
  <c r="AO49" i="39"/>
  <c r="AP49" i="39" s="1"/>
  <c r="AS49" i="39" s="1"/>
  <c r="AM49" i="39"/>
  <c r="AL49" i="39"/>
  <c r="AX49" i="39" s="1"/>
  <c r="AK49" i="39"/>
  <c r="B49" i="39"/>
  <c r="A49" i="39"/>
  <c r="AQ48" i="39"/>
  <c r="AR48" i="39" s="1"/>
  <c r="AT48" i="39" s="1"/>
  <c r="AO48" i="39"/>
  <c r="AP48" i="39" s="1"/>
  <c r="AS48" i="39" s="1"/>
  <c r="AM48" i="39"/>
  <c r="AY48" i="39" s="1"/>
  <c r="AL48" i="39"/>
  <c r="AX48" i="39" s="1"/>
  <c r="AK48" i="39"/>
  <c r="AW48" i="39" s="1"/>
  <c r="B48" i="39"/>
  <c r="A48" i="39"/>
  <c r="AQ47" i="39"/>
  <c r="AR47" i="39" s="1"/>
  <c r="AT47" i="39" s="1"/>
  <c r="AO47" i="39"/>
  <c r="AP47" i="39" s="1"/>
  <c r="AS47" i="39" s="1"/>
  <c r="AM47" i="39"/>
  <c r="AY47" i="39" s="1"/>
  <c r="AL47" i="39"/>
  <c r="AK47" i="39"/>
  <c r="B47" i="39"/>
  <c r="A47" i="39"/>
  <c r="AQ46" i="39"/>
  <c r="AR46" i="39" s="1"/>
  <c r="AT46" i="39" s="1"/>
  <c r="AO46" i="39"/>
  <c r="AP46" i="39" s="1"/>
  <c r="AS46" i="39" s="1"/>
  <c r="AM46" i="39"/>
  <c r="AL46" i="39"/>
  <c r="AX46" i="39" s="1"/>
  <c r="AK46" i="39"/>
  <c r="B46" i="39"/>
  <c r="A46" i="39"/>
  <c r="AQ45" i="39"/>
  <c r="AR45" i="39" s="1"/>
  <c r="AT45" i="39" s="1"/>
  <c r="AO45" i="39"/>
  <c r="AP45" i="39" s="1"/>
  <c r="AS45" i="39" s="1"/>
  <c r="AM45" i="39"/>
  <c r="AY45" i="39" s="1"/>
  <c r="AL45" i="39"/>
  <c r="AX45" i="39" s="1"/>
  <c r="AK45" i="39"/>
  <c r="B45" i="39"/>
  <c r="A45" i="39"/>
  <c r="AQ44" i="39"/>
  <c r="AR44" i="39" s="1"/>
  <c r="AT44" i="39" s="1"/>
  <c r="AO44" i="39"/>
  <c r="AP44" i="39" s="1"/>
  <c r="AS44" i="39" s="1"/>
  <c r="AM44" i="39"/>
  <c r="AY44" i="39" s="1"/>
  <c r="AL44" i="39"/>
  <c r="AK44" i="39"/>
  <c r="B44" i="39"/>
  <c r="A44" i="39"/>
  <c r="AQ43" i="39"/>
  <c r="AR43" i="39" s="1"/>
  <c r="AT43" i="39" s="1"/>
  <c r="AO43" i="39"/>
  <c r="AP43" i="39" s="1"/>
  <c r="AS43" i="39" s="1"/>
  <c r="AM43" i="39"/>
  <c r="AL43" i="39"/>
  <c r="AX43" i="39" s="1"/>
  <c r="AK43" i="39"/>
  <c r="B43" i="39"/>
  <c r="A43" i="39"/>
  <c r="AQ42" i="39"/>
  <c r="AR42" i="39" s="1"/>
  <c r="AT42" i="39" s="1"/>
  <c r="AO42" i="39"/>
  <c r="AP42" i="39" s="1"/>
  <c r="AS42" i="39" s="1"/>
  <c r="AM42" i="39"/>
  <c r="AY42" i="39" s="1"/>
  <c r="AL42" i="39"/>
  <c r="AX42" i="39" s="1"/>
  <c r="AK42" i="39"/>
  <c r="AW42" i="39" s="1"/>
  <c r="B42" i="39"/>
  <c r="A42" i="39"/>
  <c r="AQ41" i="39"/>
  <c r="AR41" i="39" s="1"/>
  <c r="AT41" i="39" s="1"/>
  <c r="AO41" i="39"/>
  <c r="AP41" i="39" s="1"/>
  <c r="AS41" i="39" s="1"/>
  <c r="AM41" i="39"/>
  <c r="AY41" i="39" s="1"/>
  <c r="AL41" i="39"/>
  <c r="AK41" i="39"/>
  <c r="B41" i="39"/>
  <c r="A41" i="39"/>
  <c r="AQ40" i="39"/>
  <c r="AR40" i="39" s="1"/>
  <c r="AT40" i="39" s="1"/>
  <c r="AO40" i="39"/>
  <c r="AP40" i="39" s="1"/>
  <c r="AS40" i="39" s="1"/>
  <c r="AM40" i="39"/>
  <c r="AL40" i="39"/>
  <c r="AX40" i="39" s="1"/>
  <c r="AK40" i="39"/>
  <c r="B40" i="39"/>
  <c r="A40" i="39"/>
  <c r="AQ39" i="39"/>
  <c r="AR39" i="39" s="1"/>
  <c r="AT39" i="39" s="1"/>
  <c r="AO39" i="39"/>
  <c r="AP39" i="39" s="1"/>
  <c r="AS39" i="39" s="1"/>
  <c r="AM39" i="39"/>
  <c r="AY39" i="39" s="1"/>
  <c r="AL39" i="39"/>
  <c r="AX39" i="39" s="1"/>
  <c r="AK39" i="39"/>
  <c r="B39" i="39"/>
  <c r="A39" i="39"/>
  <c r="AQ38" i="39"/>
  <c r="AR38" i="39" s="1"/>
  <c r="AT38" i="39" s="1"/>
  <c r="AO38" i="39"/>
  <c r="AP38" i="39" s="1"/>
  <c r="AS38" i="39" s="1"/>
  <c r="AM38" i="39"/>
  <c r="AY38" i="39" s="1"/>
  <c r="AL38" i="39"/>
  <c r="AK38" i="39"/>
  <c r="B38" i="39"/>
  <c r="A38" i="39"/>
  <c r="AQ37" i="39"/>
  <c r="AR37" i="39" s="1"/>
  <c r="AT37" i="39" s="1"/>
  <c r="AO37" i="39"/>
  <c r="AP37" i="39" s="1"/>
  <c r="AS37" i="39" s="1"/>
  <c r="AM37" i="39"/>
  <c r="AL37" i="39"/>
  <c r="AX37" i="39" s="1"/>
  <c r="AK37" i="39"/>
  <c r="B37" i="39"/>
  <c r="A37" i="39"/>
  <c r="AQ36" i="39"/>
  <c r="AR36" i="39" s="1"/>
  <c r="AT36" i="39" s="1"/>
  <c r="AO36" i="39"/>
  <c r="AP36" i="39" s="1"/>
  <c r="AS36" i="39" s="1"/>
  <c r="AM36" i="39"/>
  <c r="AY36" i="39" s="1"/>
  <c r="AL36" i="39"/>
  <c r="AX36" i="39" s="1"/>
  <c r="AK36" i="39"/>
  <c r="B36" i="39"/>
  <c r="A36" i="39"/>
  <c r="AQ35" i="39"/>
  <c r="AR35" i="39" s="1"/>
  <c r="AT35" i="39" s="1"/>
  <c r="AO35" i="39"/>
  <c r="AP35" i="39" s="1"/>
  <c r="AS35" i="39" s="1"/>
  <c r="AM35" i="39"/>
  <c r="AY35" i="39" s="1"/>
  <c r="AL35" i="39"/>
  <c r="AK35" i="39"/>
  <c r="B35" i="39"/>
  <c r="A35" i="39"/>
  <c r="AQ34" i="39"/>
  <c r="AR34" i="39" s="1"/>
  <c r="AT34" i="39" s="1"/>
  <c r="AO34" i="39"/>
  <c r="AP34" i="39" s="1"/>
  <c r="AS34" i="39" s="1"/>
  <c r="AM34" i="39"/>
  <c r="AL34" i="39"/>
  <c r="AX34" i="39" s="1"/>
  <c r="AK34" i="39"/>
  <c r="B34" i="39"/>
  <c r="A34" i="39"/>
  <c r="AQ33" i="39"/>
  <c r="AR33" i="39" s="1"/>
  <c r="AT33" i="39" s="1"/>
  <c r="AO33" i="39"/>
  <c r="AP33" i="39" s="1"/>
  <c r="AS33" i="39" s="1"/>
  <c r="AM33" i="39"/>
  <c r="AY33" i="39" s="1"/>
  <c r="AL33" i="39"/>
  <c r="AX33" i="39" s="1"/>
  <c r="AK33" i="39"/>
  <c r="B33" i="39"/>
  <c r="A33" i="39"/>
  <c r="AQ32" i="39"/>
  <c r="AR32" i="39" s="1"/>
  <c r="AT32" i="39" s="1"/>
  <c r="AO32" i="39"/>
  <c r="AP32" i="39" s="1"/>
  <c r="AS32" i="39" s="1"/>
  <c r="AM32" i="39"/>
  <c r="AY32" i="39" s="1"/>
  <c r="AL32" i="39"/>
  <c r="AK32" i="39"/>
  <c r="B32" i="39"/>
  <c r="A32" i="39"/>
  <c r="AQ31" i="39"/>
  <c r="AR31" i="39" s="1"/>
  <c r="AT31" i="39" s="1"/>
  <c r="AO31" i="39"/>
  <c r="AP31" i="39" s="1"/>
  <c r="AS31" i="39" s="1"/>
  <c r="AM31" i="39"/>
  <c r="AL31" i="39"/>
  <c r="AX31" i="39" s="1"/>
  <c r="AK31" i="39"/>
  <c r="B31" i="39"/>
  <c r="A31" i="39"/>
  <c r="AQ30" i="39"/>
  <c r="AR30" i="39" s="1"/>
  <c r="AT30" i="39" s="1"/>
  <c r="AO30" i="39"/>
  <c r="AP30" i="39" s="1"/>
  <c r="AS30" i="39" s="1"/>
  <c r="AM30" i="39"/>
  <c r="AY30" i="39" s="1"/>
  <c r="AL30" i="39"/>
  <c r="AX30" i="39" s="1"/>
  <c r="AK30" i="39"/>
  <c r="AW30" i="39" s="1"/>
  <c r="B30" i="39"/>
  <c r="A30" i="39"/>
  <c r="AQ29" i="39"/>
  <c r="AR29" i="39" s="1"/>
  <c r="AT29" i="39" s="1"/>
  <c r="AO29" i="39"/>
  <c r="AP29" i="39" s="1"/>
  <c r="AS29" i="39" s="1"/>
  <c r="AM29" i="39"/>
  <c r="AY29" i="39" s="1"/>
  <c r="AL29" i="39"/>
  <c r="AK29" i="39"/>
  <c r="B29" i="39"/>
  <c r="A29" i="39"/>
  <c r="AQ28" i="39"/>
  <c r="AR28" i="39" s="1"/>
  <c r="AT28" i="39" s="1"/>
  <c r="AO28" i="39"/>
  <c r="AP28" i="39" s="1"/>
  <c r="AS28" i="39" s="1"/>
  <c r="AM28" i="39"/>
  <c r="AL28" i="39"/>
  <c r="AX28" i="39" s="1"/>
  <c r="AK28" i="39"/>
  <c r="B28" i="39"/>
  <c r="A28" i="39"/>
  <c r="AQ27" i="39"/>
  <c r="AR27" i="39" s="1"/>
  <c r="AT27" i="39" s="1"/>
  <c r="AO27" i="39"/>
  <c r="AP27" i="39" s="1"/>
  <c r="AS27" i="39" s="1"/>
  <c r="AM27" i="39"/>
  <c r="AY27" i="39" s="1"/>
  <c r="AL27" i="39"/>
  <c r="AX27" i="39" s="1"/>
  <c r="AK27" i="39"/>
  <c r="AW27" i="39" s="1"/>
  <c r="B27" i="39"/>
  <c r="A27" i="39"/>
  <c r="AQ26" i="39"/>
  <c r="AR26" i="39" s="1"/>
  <c r="AT26" i="39" s="1"/>
  <c r="AO26" i="39"/>
  <c r="AP26" i="39" s="1"/>
  <c r="AS26" i="39" s="1"/>
  <c r="AM26" i="39"/>
  <c r="AY26" i="39" s="1"/>
  <c r="AL26" i="39"/>
  <c r="AK26" i="39"/>
  <c r="B26" i="39"/>
  <c r="A26" i="39"/>
  <c r="AQ25" i="39"/>
  <c r="AR25" i="39" s="1"/>
  <c r="AT25" i="39" s="1"/>
  <c r="AO25" i="39"/>
  <c r="AP25" i="39" s="1"/>
  <c r="AS25" i="39" s="1"/>
  <c r="AM25" i="39"/>
  <c r="AL25" i="39"/>
  <c r="AX25" i="39" s="1"/>
  <c r="AK25" i="39"/>
  <c r="B25" i="39"/>
  <c r="A25" i="39"/>
  <c r="AQ24" i="39"/>
  <c r="AR24" i="39" s="1"/>
  <c r="AT24" i="39" s="1"/>
  <c r="AO24" i="39"/>
  <c r="AP24" i="39" s="1"/>
  <c r="AS24" i="39" s="1"/>
  <c r="AM24" i="39"/>
  <c r="AY24" i="39" s="1"/>
  <c r="AL24" i="39"/>
  <c r="AX24" i="39" s="1"/>
  <c r="AK24" i="39"/>
  <c r="AW24" i="39" s="1"/>
  <c r="B24" i="39"/>
  <c r="A24" i="39"/>
  <c r="AQ23" i="39"/>
  <c r="AR23" i="39" s="1"/>
  <c r="AT23" i="39" s="1"/>
  <c r="AO23" i="39"/>
  <c r="AP23" i="39" s="1"/>
  <c r="AS23" i="39" s="1"/>
  <c r="AM23" i="39"/>
  <c r="AY23" i="39" s="1"/>
  <c r="AL23" i="39"/>
  <c r="AK23" i="39"/>
  <c r="B23" i="39"/>
  <c r="A23" i="39"/>
  <c r="AQ22" i="39"/>
  <c r="AR22" i="39" s="1"/>
  <c r="AT22" i="39" s="1"/>
  <c r="AO22" i="39"/>
  <c r="AP22" i="39" s="1"/>
  <c r="AS22" i="39" s="1"/>
  <c r="AM22" i="39"/>
  <c r="AL22" i="39"/>
  <c r="AX22" i="39" s="1"/>
  <c r="AK22" i="39"/>
  <c r="B22" i="39"/>
  <c r="A22" i="39"/>
  <c r="AQ21" i="39"/>
  <c r="AR21" i="39" s="1"/>
  <c r="AT21" i="39" s="1"/>
  <c r="AO21" i="39"/>
  <c r="AP21" i="39" s="1"/>
  <c r="AS21" i="39" s="1"/>
  <c r="AM21" i="39"/>
  <c r="AY21" i="39" s="1"/>
  <c r="AL21" i="39"/>
  <c r="AX21" i="39" s="1"/>
  <c r="AK21" i="39"/>
  <c r="B21" i="39"/>
  <c r="A21" i="39"/>
  <c r="AQ20" i="39"/>
  <c r="AR20" i="39" s="1"/>
  <c r="AT20" i="39" s="1"/>
  <c r="AO20" i="39"/>
  <c r="AP20" i="39" s="1"/>
  <c r="AS20" i="39" s="1"/>
  <c r="AM20" i="39"/>
  <c r="AY20" i="39" s="1"/>
  <c r="AL20" i="39"/>
  <c r="AK20" i="39"/>
  <c r="B20" i="39"/>
  <c r="A20" i="39"/>
  <c r="AQ19" i="39"/>
  <c r="AR19" i="39" s="1"/>
  <c r="AT19" i="39" s="1"/>
  <c r="AO19" i="39"/>
  <c r="AP19" i="39" s="1"/>
  <c r="AS19" i="39" s="1"/>
  <c r="AM19" i="39"/>
  <c r="AL19" i="39"/>
  <c r="AX19" i="39" s="1"/>
  <c r="AK19" i="39"/>
  <c r="B19" i="39"/>
  <c r="A19" i="39"/>
  <c r="AQ18" i="39"/>
  <c r="AR18" i="39" s="1"/>
  <c r="AT18" i="39" s="1"/>
  <c r="AO18" i="39"/>
  <c r="AP18" i="39" s="1"/>
  <c r="AS18" i="39" s="1"/>
  <c r="AM18" i="39"/>
  <c r="AY18" i="39" s="1"/>
  <c r="AL18" i="39"/>
  <c r="AX18" i="39" s="1"/>
  <c r="AK18" i="39"/>
  <c r="B18" i="39"/>
  <c r="A18" i="39"/>
  <c r="AQ17" i="39"/>
  <c r="AR17" i="39" s="1"/>
  <c r="AT17" i="39" s="1"/>
  <c r="AO17" i="39"/>
  <c r="AP17" i="39" s="1"/>
  <c r="AS17" i="39" s="1"/>
  <c r="AM17" i="39"/>
  <c r="AY17" i="39" s="1"/>
  <c r="AL17" i="39"/>
  <c r="AK17" i="39"/>
  <c r="B17" i="39"/>
  <c r="A17" i="39"/>
  <c r="AQ16" i="39"/>
  <c r="AR16" i="39" s="1"/>
  <c r="AT16" i="39" s="1"/>
  <c r="AO16" i="39"/>
  <c r="AP16" i="39" s="1"/>
  <c r="AS16" i="39" s="1"/>
  <c r="AM16" i="39"/>
  <c r="AL16" i="39"/>
  <c r="AX16" i="39" s="1"/>
  <c r="AK16" i="39"/>
  <c r="B16" i="39"/>
  <c r="A16" i="39"/>
  <c r="AQ15" i="39"/>
  <c r="AR15" i="39" s="1"/>
  <c r="AT15" i="39" s="1"/>
  <c r="AO15" i="39"/>
  <c r="AP15" i="39" s="1"/>
  <c r="AS15" i="39" s="1"/>
  <c r="AM15" i="39"/>
  <c r="AY15" i="39" s="1"/>
  <c r="AL15" i="39"/>
  <c r="AX15" i="39" s="1"/>
  <c r="AK15" i="39"/>
  <c r="AW15" i="39" s="1"/>
  <c r="B15" i="39"/>
  <c r="A15" i="39"/>
  <c r="AQ14" i="39"/>
  <c r="AR14" i="39" s="1"/>
  <c r="AT14" i="39" s="1"/>
  <c r="AO14" i="39"/>
  <c r="AP14" i="39" s="1"/>
  <c r="AS14" i="39" s="1"/>
  <c r="AM14" i="39"/>
  <c r="AY14" i="39" s="1"/>
  <c r="AL14" i="39"/>
  <c r="AK14" i="39"/>
  <c r="B14" i="39"/>
  <c r="A14" i="39"/>
  <c r="AQ13" i="39"/>
  <c r="AR13" i="39" s="1"/>
  <c r="AT13" i="39" s="1"/>
  <c r="AO13" i="39"/>
  <c r="AP13" i="39" s="1"/>
  <c r="AS13" i="39" s="1"/>
  <c r="AM13" i="39"/>
  <c r="AL13" i="39"/>
  <c r="AX13" i="39" s="1"/>
  <c r="AK13" i="39"/>
  <c r="B13" i="39"/>
  <c r="A13" i="39"/>
  <c r="AQ12" i="39"/>
  <c r="AR12" i="39" s="1"/>
  <c r="AT12" i="39" s="1"/>
  <c r="AO12" i="39"/>
  <c r="AP12" i="39" s="1"/>
  <c r="AS12" i="39" s="1"/>
  <c r="AM12" i="39"/>
  <c r="AY12" i="39" s="1"/>
  <c r="AL12" i="39"/>
  <c r="AX12" i="39" s="1"/>
  <c r="AK12" i="39"/>
  <c r="B12" i="39"/>
  <c r="A12" i="39"/>
  <c r="AQ11" i="39"/>
  <c r="AR11" i="39" s="1"/>
  <c r="AT11" i="39" s="1"/>
  <c r="AO11" i="39"/>
  <c r="AP11" i="39" s="1"/>
  <c r="AS11" i="39" s="1"/>
  <c r="AM11" i="39"/>
  <c r="AY11" i="39" s="1"/>
  <c r="AL11" i="39"/>
  <c r="AK11" i="39"/>
  <c r="B11" i="39"/>
  <c r="A11" i="39"/>
  <c r="AQ10" i="39"/>
  <c r="AR10" i="39" s="1"/>
  <c r="AT10" i="39" s="1"/>
  <c r="AO10" i="39"/>
  <c r="AP10" i="39" s="1"/>
  <c r="AS10" i="39" s="1"/>
  <c r="AM10" i="39"/>
  <c r="AL10" i="39"/>
  <c r="AX10" i="39" s="1"/>
  <c r="AK10" i="39"/>
  <c r="B10" i="39"/>
  <c r="A10" i="39"/>
  <c r="AQ9" i="39"/>
  <c r="AO9" i="39"/>
  <c r="AM9" i="39"/>
  <c r="AY9" i="39" s="1"/>
  <c r="AL9" i="39"/>
  <c r="AX9" i="39" s="1"/>
  <c r="AK9" i="39"/>
  <c r="B9" i="39"/>
  <c r="A9" i="39"/>
  <c r="AY8" i="39"/>
  <c r="AX8" i="39"/>
  <c r="AW8" i="39"/>
  <c r="AM7" i="39"/>
  <c r="AI7" i="39"/>
  <c r="W7" i="39"/>
  <c r="AL7" i="39" s="1"/>
  <c r="C7" i="39"/>
  <c r="AK7" i="39" s="1"/>
  <c r="BB5" i="39"/>
  <c r="BA5" i="39"/>
  <c r="AZ5" i="39"/>
  <c r="BB4" i="39"/>
  <c r="BA4" i="39"/>
  <c r="AZ4" i="39"/>
  <c r="AQ68" i="38"/>
  <c r="AR68" i="38" s="1"/>
  <c r="AT68" i="38" s="1"/>
  <c r="AO68" i="38"/>
  <c r="AP68" i="38" s="1"/>
  <c r="AS68" i="38" s="1"/>
  <c r="AM68" i="38"/>
  <c r="AY68" i="38" s="1"/>
  <c r="AL68" i="38"/>
  <c r="AX68" i="38" s="1"/>
  <c r="AK68" i="38"/>
  <c r="B68" i="38"/>
  <c r="A68" i="38"/>
  <c r="AQ67" i="38"/>
  <c r="AR67" i="38" s="1"/>
  <c r="AT67" i="38" s="1"/>
  <c r="AO67" i="38"/>
  <c r="AP67" i="38" s="1"/>
  <c r="AS67" i="38" s="1"/>
  <c r="AM67" i="38"/>
  <c r="AY67" i="38" s="1"/>
  <c r="AL67" i="38"/>
  <c r="AX67" i="38" s="1"/>
  <c r="AK67" i="38"/>
  <c r="B67" i="38"/>
  <c r="A67" i="38"/>
  <c r="AQ66" i="38"/>
  <c r="AR66" i="38" s="1"/>
  <c r="AT66" i="38" s="1"/>
  <c r="AO66" i="38"/>
  <c r="AP66" i="38" s="1"/>
  <c r="AS66" i="38" s="1"/>
  <c r="AM66" i="38"/>
  <c r="AY66" i="38" s="1"/>
  <c r="AL66" i="38"/>
  <c r="AX66" i="38" s="1"/>
  <c r="AK66" i="38"/>
  <c r="AW66" i="38" s="1"/>
  <c r="B66" i="38"/>
  <c r="A66" i="38"/>
  <c r="AQ65" i="38"/>
  <c r="AR65" i="38" s="1"/>
  <c r="AT65" i="38" s="1"/>
  <c r="AO65" i="38"/>
  <c r="AP65" i="38" s="1"/>
  <c r="AS65" i="38" s="1"/>
  <c r="AM65" i="38"/>
  <c r="AY65" i="38" s="1"/>
  <c r="AL65" i="38"/>
  <c r="AX65" i="38" s="1"/>
  <c r="AK65" i="38"/>
  <c r="B65" i="38"/>
  <c r="A65" i="38"/>
  <c r="AQ64" i="38"/>
  <c r="AR64" i="38" s="1"/>
  <c r="AT64" i="38" s="1"/>
  <c r="AO64" i="38"/>
  <c r="AP64" i="38" s="1"/>
  <c r="AS64" i="38" s="1"/>
  <c r="AM64" i="38"/>
  <c r="AY64" i="38" s="1"/>
  <c r="AL64" i="38"/>
  <c r="AX64" i="38" s="1"/>
  <c r="AK64" i="38"/>
  <c r="B64" i="38"/>
  <c r="A64" i="38"/>
  <c r="AQ63" i="38"/>
  <c r="AR63" i="38" s="1"/>
  <c r="AT63" i="38" s="1"/>
  <c r="AO63" i="38"/>
  <c r="AP63" i="38" s="1"/>
  <c r="AS63" i="38" s="1"/>
  <c r="AM63" i="38"/>
  <c r="AY63" i="38" s="1"/>
  <c r="AL63" i="38"/>
  <c r="AX63" i="38" s="1"/>
  <c r="AK63" i="38"/>
  <c r="B63" i="38"/>
  <c r="A63" i="38"/>
  <c r="AQ62" i="38"/>
  <c r="AR62" i="38" s="1"/>
  <c r="AT62" i="38" s="1"/>
  <c r="AO62" i="38"/>
  <c r="AP62" i="38" s="1"/>
  <c r="AS62" i="38" s="1"/>
  <c r="AM62" i="38"/>
  <c r="AY62" i="38" s="1"/>
  <c r="AL62" i="38"/>
  <c r="AX62" i="38" s="1"/>
  <c r="AK62" i="38"/>
  <c r="B62" i="38"/>
  <c r="A62" i="38"/>
  <c r="AQ61" i="38"/>
  <c r="AR61" i="38" s="1"/>
  <c r="AT61" i="38" s="1"/>
  <c r="AO61" i="38"/>
  <c r="AP61" i="38" s="1"/>
  <c r="AS61" i="38" s="1"/>
  <c r="AM61" i="38"/>
  <c r="AL61" i="38"/>
  <c r="AX61" i="38" s="1"/>
  <c r="AK61" i="38"/>
  <c r="B61" i="38"/>
  <c r="A61" i="38"/>
  <c r="AQ60" i="38"/>
  <c r="AR60" i="38" s="1"/>
  <c r="AT60" i="38" s="1"/>
  <c r="AO60" i="38"/>
  <c r="AP60" i="38" s="1"/>
  <c r="AS60" i="38" s="1"/>
  <c r="AM60" i="38"/>
  <c r="AY60" i="38" s="1"/>
  <c r="AL60" i="38"/>
  <c r="AX60" i="38" s="1"/>
  <c r="AK60" i="38"/>
  <c r="AW60" i="38" s="1"/>
  <c r="B60" i="38"/>
  <c r="A60" i="38"/>
  <c r="AQ59" i="38"/>
  <c r="AR59" i="38" s="1"/>
  <c r="AT59" i="38" s="1"/>
  <c r="AO59" i="38"/>
  <c r="AP59" i="38" s="1"/>
  <c r="AS59" i="38" s="1"/>
  <c r="AM59" i="38"/>
  <c r="AY59" i="38" s="1"/>
  <c r="AL59" i="38"/>
  <c r="AX59" i="38" s="1"/>
  <c r="AK59" i="38"/>
  <c r="B59" i="38"/>
  <c r="A59" i="38"/>
  <c r="AQ58" i="38"/>
  <c r="AR58" i="38" s="1"/>
  <c r="AT58" i="38" s="1"/>
  <c r="AO58" i="38"/>
  <c r="AP58" i="38" s="1"/>
  <c r="AS58" i="38" s="1"/>
  <c r="AM58" i="38"/>
  <c r="AL58" i="38"/>
  <c r="AX58" i="38" s="1"/>
  <c r="AK58" i="38"/>
  <c r="B58" i="38"/>
  <c r="A58" i="38"/>
  <c r="AQ57" i="38"/>
  <c r="AR57" i="38" s="1"/>
  <c r="AT57" i="38" s="1"/>
  <c r="AO57" i="38"/>
  <c r="AP57" i="38" s="1"/>
  <c r="AS57" i="38" s="1"/>
  <c r="AM57" i="38"/>
  <c r="AY57" i="38" s="1"/>
  <c r="AL57" i="38"/>
  <c r="AX57" i="38" s="1"/>
  <c r="AK57" i="38"/>
  <c r="AW57" i="38" s="1"/>
  <c r="B57" i="38"/>
  <c r="A57" i="38"/>
  <c r="AQ56" i="38"/>
  <c r="AR56" i="38" s="1"/>
  <c r="AT56" i="38" s="1"/>
  <c r="AO56" i="38"/>
  <c r="AP56" i="38" s="1"/>
  <c r="AS56" i="38" s="1"/>
  <c r="AM56" i="38"/>
  <c r="AY56" i="38" s="1"/>
  <c r="AL56" i="38"/>
  <c r="AK56" i="38"/>
  <c r="B56" i="38"/>
  <c r="A56" i="38"/>
  <c r="AQ55" i="38"/>
  <c r="AR55" i="38" s="1"/>
  <c r="AT55" i="38" s="1"/>
  <c r="AO55" i="38"/>
  <c r="AP55" i="38" s="1"/>
  <c r="AS55" i="38" s="1"/>
  <c r="AM55" i="38"/>
  <c r="AL55" i="38"/>
  <c r="AX55" i="38" s="1"/>
  <c r="AK55" i="38"/>
  <c r="B55" i="38"/>
  <c r="A55" i="38"/>
  <c r="AQ54" i="38"/>
  <c r="AR54" i="38" s="1"/>
  <c r="AT54" i="38" s="1"/>
  <c r="AO54" i="38"/>
  <c r="AP54" i="38" s="1"/>
  <c r="AS54" i="38" s="1"/>
  <c r="AM54" i="38"/>
  <c r="AY54" i="38" s="1"/>
  <c r="AL54" i="38"/>
  <c r="AX54" i="38" s="1"/>
  <c r="AK54" i="38"/>
  <c r="B54" i="38"/>
  <c r="A54" i="38"/>
  <c r="AQ53" i="38"/>
  <c r="AR53" i="38" s="1"/>
  <c r="AT53" i="38" s="1"/>
  <c r="AO53" i="38"/>
  <c r="AP53" i="38" s="1"/>
  <c r="AS53" i="38" s="1"/>
  <c r="AM53" i="38"/>
  <c r="AY53" i="38" s="1"/>
  <c r="AL53" i="38"/>
  <c r="AK53" i="38"/>
  <c r="B53" i="38"/>
  <c r="A53" i="38"/>
  <c r="AQ52" i="38"/>
  <c r="AR52" i="38" s="1"/>
  <c r="AT52" i="38" s="1"/>
  <c r="AO52" i="38"/>
  <c r="AP52" i="38" s="1"/>
  <c r="AS52" i="38" s="1"/>
  <c r="AM52" i="38"/>
  <c r="AL52" i="38"/>
  <c r="AX52" i="38" s="1"/>
  <c r="AK52" i="38"/>
  <c r="B52" i="38"/>
  <c r="A52" i="38"/>
  <c r="AQ51" i="38"/>
  <c r="AR51" i="38" s="1"/>
  <c r="AT51" i="38" s="1"/>
  <c r="AO51" i="38"/>
  <c r="AP51" i="38" s="1"/>
  <c r="AS51" i="38" s="1"/>
  <c r="AM51" i="38"/>
  <c r="AY51" i="38" s="1"/>
  <c r="AL51" i="38"/>
  <c r="AX51" i="38" s="1"/>
  <c r="AK51" i="38"/>
  <c r="AW51" i="38" s="1"/>
  <c r="B51" i="38"/>
  <c r="A51" i="38"/>
  <c r="AQ50" i="38"/>
  <c r="AR50" i="38" s="1"/>
  <c r="AT50" i="38" s="1"/>
  <c r="AO50" i="38"/>
  <c r="AP50" i="38" s="1"/>
  <c r="AS50" i="38" s="1"/>
  <c r="AM50" i="38"/>
  <c r="AY50" i="38" s="1"/>
  <c r="AL50" i="38"/>
  <c r="AK50" i="38"/>
  <c r="B50" i="38"/>
  <c r="A50" i="38"/>
  <c r="AQ49" i="38"/>
  <c r="AR49" i="38" s="1"/>
  <c r="AT49" i="38" s="1"/>
  <c r="AO49" i="38"/>
  <c r="AP49" i="38" s="1"/>
  <c r="AS49" i="38" s="1"/>
  <c r="AM49" i="38"/>
  <c r="AL49" i="38"/>
  <c r="AX49" i="38" s="1"/>
  <c r="AK49" i="38"/>
  <c r="B49" i="38"/>
  <c r="A49" i="38"/>
  <c r="AQ48" i="38"/>
  <c r="AR48" i="38" s="1"/>
  <c r="AT48" i="38" s="1"/>
  <c r="AO48" i="38"/>
  <c r="AP48" i="38" s="1"/>
  <c r="AS48" i="38" s="1"/>
  <c r="AM48" i="38"/>
  <c r="AY48" i="38" s="1"/>
  <c r="AL48" i="38"/>
  <c r="AX48" i="38" s="1"/>
  <c r="AK48" i="38"/>
  <c r="AW48" i="38" s="1"/>
  <c r="B48" i="38"/>
  <c r="A48" i="38"/>
  <c r="AQ47" i="38"/>
  <c r="AR47" i="38" s="1"/>
  <c r="AT47" i="38" s="1"/>
  <c r="AO47" i="38"/>
  <c r="AP47" i="38" s="1"/>
  <c r="AS47" i="38" s="1"/>
  <c r="AM47" i="38"/>
  <c r="AY47" i="38" s="1"/>
  <c r="AL47" i="38"/>
  <c r="AK47" i="38"/>
  <c r="B47" i="38"/>
  <c r="A47" i="38"/>
  <c r="AQ46" i="38"/>
  <c r="AR46" i="38" s="1"/>
  <c r="AT46" i="38" s="1"/>
  <c r="AO46" i="38"/>
  <c r="AP46" i="38" s="1"/>
  <c r="AS46" i="38" s="1"/>
  <c r="AM46" i="38"/>
  <c r="AL46" i="38"/>
  <c r="AX46" i="38" s="1"/>
  <c r="AK46" i="38"/>
  <c r="B46" i="38"/>
  <c r="A46" i="38"/>
  <c r="AQ45" i="38"/>
  <c r="AR45" i="38" s="1"/>
  <c r="AT45" i="38" s="1"/>
  <c r="AO45" i="38"/>
  <c r="AP45" i="38" s="1"/>
  <c r="AS45" i="38" s="1"/>
  <c r="AM45" i="38"/>
  <c r="AY45" i="38" s="1"/>
  <c r="AL45" i="38"/>
  <c r="AX45" i="38" s="1"/>
  <c r="AK45" i="38"/>
  <c r="B45" i="38"/>
  <c r="A45" i="38"/>
  <c r="AQ44" i="38"/>
  <c r="AR44" i="38" s="1"/>
  <c r="AT44" i="38" s="1"/>
  <c r="AO44" i="38"/>
  <c r="AP44" i="38" s="1"/>
  <c r="AS44" i="38" s="1"/>
  <c r="AM44" i="38"/>
  <c r="AY44" i="38" s="1"/>
  <c r="AL44" i="38"/>
  <c r="AK44" i="38"/>
  <c r="B44" i="38"/>
  <c r="A44" i="38"/>
  <c r="AQ43" i="38"/>
  <c r="AR43" i="38" s="1"/>
  <c r="AT43" i="38" s="1"/>
  <c r="AO43" i="38"/>
  <c r="AP43" i="38" s="1"/>
  <c r="AS43" i="38" s="1"/>
  <c r="AM43" i="38"/>
  <c r="AL43" i="38"/>
  <c r="AX43" i="38" s="1"/>
  <c r="AK43" i="38"/>
  <c r="B43" i="38"/>
  <c r="A43" i="38"/>
  <c r="AQ42" i="38"/>
  <c r="AR42" i="38" s="1"/>
  <c r="AT42" i="38" s="1"/>
  <c r="AO42" i="38"/>
  <c r="AP42" i="38" s="1"/>
  <c r="AS42" i="38" s="1"/>
  <c r="AM42" i="38"/>
  <c r="AY42" i="38" s="1"/>
  <c r="AL42" i="38"/>
  <c r="AX42" i="38" s="1"/>
  <c r="AK42" i="38"/>
  <c r="AW42" i="38" s="1"/>
  <c r="B42" i="38"/>
  <c r="A42" i="38"/>
  <c r="AQ41" i="38"/>
  <c r="AR41" i="38" s="1"/>
  <c r="AT41" i="38" s="1"/>
  <c r="AO41" i="38"/>
  <c r="AP41" i="38" s="1"/>
  <c r="AS41" i="38" s="1"/>
  <c r="AM41" i="38"/>
  <c r="AY41" i="38" s="1"/>
  <c r="AL41" i="38"/>
  <c r="AK41" i="38"/>
  <c r="B41" i="38"/>
  <c r="A41" i="38"/>
  <c r="AQ40" i="38"/>
  <c r="AR40" i="38" s="1"/>
  <c r="AT40" i="38" s="1"/>
  <c r="AO40" i="38"/>
  <c r="AP40" i="38" s="1"/>
  <c r="AS40" i="38" s="1"/>
  <c r="AM40" i="38"/>
  <c r="AL40" i="38"/>
  <c r="AX40" i="38" s="1"/>
  <c r="AK40" i="38"/>
  <c r="B40" i="38"/>
  <c r="A40" i="38"/>
  <c r="AQ39" i="38"/>
  <c r="AR39" i="38" s="1"/>
  <c r="AT39" i="38" s="1"/>
  <c r="AO39" i="38"/>
  <c r="AP39" i="38" s="1"/>
  <c r="AS39" i="38" s="1"/>
  <c r="AM39" i="38"/>
  <c r="AY39" i="38" s="1"/>
  <c r="AL39" i="38"/>
  <c r="AX39" i="38" s="1"/>
  <c r="AK39" i="38"/>
  <c r="AW39" i="38" s="1"/>
  <c r="B39" i="38"/>
  <c r="A39" i="38"/>
  <c r="AQ38" i="38"/>
  <c r="AR38" i="38" s="1"/>
  <c r="AT38" i="38" s="1"/>
  <c r="AO38" i="38"/>
  <c r="AP38" i="38" s="1"/>
  <c r="AS38" i="38" s="1"/>
  <c r="AM38" i="38"/>
  <c r="AY38" i="38" s="1"/>
  <c r="AL38" i="38"/>
  <c r="AK38" i="38"/>
  <c r="AW38" i="38" s="1"/>
  <c r="B38" i="38"/>
  <c r="A38" i="38"/>
  <c r="AQ37" i="38"/>
  <c r="AR37" i="38" s="1"/>
  <c r="AT37" i="38" s="1"/>
  <c r="AO37" i="38"/>
  <c r="AP37" i="38" s="1"/>
  <c r="AS37" i="38" s="1"/>
  <c r="AM37" i="38"/>
  <c r="AL37" i="38"/>
  <c r="AX37" i="38" s="1"/>
  <c r="AK37" i="38"/>
  <c r="B37" i="38"/>
  <c r="A37" i="38"/>
  <c r="AQ36" i="38"/>
  <c r="AR36" i="38" s="1"/>
  <c r="AT36" i="38" s="1"/>
  <c r="AO36" i="38"/>
  <c r="AP36" i="38" s="1"/>
  <c r="AS36" i="38" s="1"/>
  <c r="AM36" i="38"/>
  <c r="AY36" i="38" s="1"/>
  <c r="AL36" i="38"/>
  <c r="AX36" i="38" s="1"/>
  <c r="AK36" i="38"/>
  <c r="B36" i="38"/>
  <c r="A36" i="38"/>
  <c r="AQ35" i="38"/>
  <c r="AR35" i="38" s="1"/>
  <c r="AT35" i="38" s="1"/>
  <c r="AO35" i="38"/>
  <c r="AP35" i="38" s="1"/>
  <c r="AS35" i="38" s="1"/>
  <c r="AM35" i="38"/>
  <c r="AY35" i="38" s="1"/>
  <c r="AL35" i="38"/>
  <c r="AK35" i="38"/>
  <c r="AW35" i="38" s="1"/>
  <c r="B35" i="38"/>
  <c r="A35" i="38"/>
  <c r="AQ34" i="38"/>
  <c r="AR34" i="38" s="1"/>
  <c r="AT34" i="38" s="1"/>
  <c r="AO34" i="38"/>
  <c r="AP34" i="38" s="1"/>
  <c r="AS34" i="38" s="1"/>
  <c r="AM34" i="38"/>
  <c r="AL34" i="38"/>
  <c r="AX34" i="38" s="1"/>
  <c r="AK34" i="38"/>
  <c r="B34" i="38"/>
  <c r="A34" i="38"/>
  <c r="AQ33" i="38"/>
  <c r="AR33" i="38" s="1"/>
  <c r="AT33" i="38" s="1"/>
  <c r="AO33" i="38"/>
  <c r="AP33" i="38" s="1"/>
  <c r="AS33" i="38" s="1"/>
  <c r="AM33" i="38"/>
  <c r="AY33" i="38" s="1"/>
  <c r="AL33" i="38"/>
  <c r="AX33" i="38" s="1"/>
  <c r="AK33" i="38"/>
  <c r="AW33" i="38" s="1"/>
  <c r="B33" i="38"/>
  <c r="A33" i="38"/>
  <c r="AQ32" i="38"/>
  <c r="AR32" i="38" s="1"/>
  <c r="AT32" i="38" s="1"/>
  <c r="AO32" i="38"/>
  <c r="AP32" i="38" s="1"/>
  <c r="AS32" i="38" s="1"/>
  <c r="AM32" i="38"/>
  <c r="AY32" i="38" s="1"/>
  <c r="AL32" i="38"/>
  <c r="AK32" i="38"/>
  <c r="AW32" i="38" s="1"/>
  <c r="B32" i="38"/>
  <c r="A32" i="38"/>
  <c r="AQ31" i="38"/>
  <c r="AR31" i="38" s="1"/>
  <c r="AT31" i="38" s="1"/>
  <c r="AO31" i="38"/>
  <c r="AP31" i="38" s="1"/>
  <c r="AS31" i="38" s="1"/>
  <c r="AM31" i="38"/>
  <c r="AL31" i="38"/>
  <c r="AX31" i="38" s="1"/>
  <c r="AK31" i="38"/>
  <c r="B31" i="38"/>
  <c r="A31" i="38"/>
  <c r="AQ30" i="38"/>
  <c r="AR30" i="38" s="1"/>
  <c r="AT30" i="38" s="1"/>
  <c r="AO30" i="38"/>
  <c r="AP30" i="38" s="1"/>
  <c r="AS30" i="38" s="1"/>
  <c r="AM30" i="38"/>
  <c r="AY30" i="38" s="1"/>
  <c r="AL30" i="38"/>
  <c r="AX30" i="38" s="1"/>
  <c r="AK30" i="38"/>
  <c r="B30" i="38"/>
  <c r="A30" i="38"/>
  <c r="AQ29" i="38"/>
  <c r="AR29" i="38" s="1"/>
  <c r="AT29" i="38" s="1"/>
  <c r="AO29" i="38"/>
  <c r="AP29" i="38" s="1"/>
  <c r="AS29" i="38" s="1"/>
  <c r="AM29" i="38"/>
  <c r="AY29" i="38" s="1"/>
  <c r="AL29" i="38"/>
  <c r="AK29" i="38"/>
  <c r="AW29" i="38" s="1"/>
  <c r="B29" i="38"/>
  <c r="A29" i="38"/>
  <c r="AQ28" i="38"/>
  <c r="AR28" i="38" s="1"/>
  <c r="AT28" i="38" s="1"/>
  <c r="AO28" i="38"/>
  <c r="AP28" i="38" s="1"/>
  <c r="AS28" i="38" s="1"/>
  <c r="AM28" i="38"/>
  <c r="AL28" i="38"/>
  <c r="AX28" i="38" s="1"/>
  <c r="AK28" i="38"/>
  <c r="B28" i="38"/>
  <c r="A28" i="38"/>
  <c r="AQ27" i="38"/>
  <c r="AR27" i="38" s="1"/>
  <c r="AT27" i="38" s="1"/>
  <c r="AO27" i="38"/>
  <c r="AP27" i="38" s="1"/>
  <c r="AS27" i="38" s="1"/>
  <c r="AM27" i="38"/>
  <c r="AY27" i="38" s="1"/>
  <c r="AL27" i="38"/>
  <c r="AX27" i="38" s="1"/>
  <c r="AK27" i="38"/>
  <c r="B27" i="38"/>
  <c r="A27" i="38"/>
  <c r="AQ26" i="38"/>
  <c r="AR26" i="38" s="1"/>
  <c r="AT26" i="38" s="1"/>
  <c r="AO26" i="38"/>
  <c r="AP26" i="38" s="1"/>
  <c r="AS26" i="38" s="1"/>
  <c r="AM26" i="38"/>
  <c r="AY26" i="38" s="1"/>
  <c r="AL26" i="38"/>
  <c r="AK26" i="38"/>
  <c r="AW26" i="38" s="1"/>
  <c r="B26" i="38"/>
  <c r="A26" i="38"/>
  <c r="AQ25" i="38"/>
  <c r="AR25" i="38" s="1"/>
  <c r="AT25" i="38" s="1"/>
  <c r="AO25" i="38"/>
  <c r="AP25" i="38" s="1"/>
  <c r="AS25" i="38" s="1"/>
  <c r="AM25" i="38"/>
  <c r="AL25" i="38"/>
  <c r="AX25" i="38" s="1"/>
  <c r="AK25" i="38"/>
  <c r="B25" i="38"/>
  <c r="A25" i="38"/>
  <c r="AQ24" i="38"/>
  <c r="AR24" i="38" s="1"/>
  <c r="AT24" i="38" s="1"/>
  <c r="AO24" i="38"/>
  <c r="AP24" i="38" s="1"/>
  <c r="AS24" i="38" s="1"/>
  <c r="AM24" i="38"/>
  <c r="AY24" i="38" s="1"/>
  <c r="AL24" i="38"/>
  <c r="AX24" i="38" s="1"/>
  <c r="AK24" i="38"/>
  <c r="B24" i="38"/>
  <c r="A24" i="38"/>
  <c r="AQ23" i="38"/>
  <c r="AR23" i="38" s="1"/>
  <c r="AT23" i="38" s="1"/>
  <c r="AO23" i="38"/>
  <c r="AP23" i="38" s="1"/>
  <c r="AS23" i="38" s="1"/>
  <c r="AM23" i="38"/>
  <c r="AY23" i="38" s="1"/>
  <c r="AL23" i="38"/>
  <c r="AX23" i="38" s="1"/>
  <c r="AK23" i="38"/>
  <c r="AW23" i="38" s="1"/>
  <c r="B23" i="38"/>
  <c r="A23" i="38"/>
  <c r="AQ22" i="38"/>
  <c r="AR22" i="38" s="1"/>
  <c r="AT22" i="38" s="1"/>
  <c r="AO22" i="38"/>
  <c r="AP22" i="38" s="1"/>
  <c r="AS22" i="38" s="1"/>
  <c r="AM22" i="38"/>
  <c r="AL22" i="38"/>
  <c r="AX22" i="38" s="1"/>
  <c r="AK22" i="38"/>
  <c r="B22" i="38"/>
  <c r="A22" i="38"/>
  <c r="AQ21" i="38"/>
  <c r="AR21" i="38" s="1"/>
  <c r="AT21" i="38" s="1"/>
  <c r="AO21" i="38"/>
  <c r="AP21" i="38" s="1"/>
  <c r="AS21" i="38" s="1"/>
  <c r="AM21" i="38"/>
  <c r="AY21" i="38" s="1"/>
  <c r="AL21" i="38"/>
  <c r="AX21" i="38" s="1"/>
  <c r="AK21" i="38"/>
  <c r="B21" i="38"/>
  <c r="A21" i="38"/>
  <c r="AQ20" i="38"/>
  <c r="AR20" i="38" s="1"/>
  <c r="AT20" i="38" s="1"/>
  <c r="AO20" i="38"/>
  <c r="AP20" i="38" s="1"/>
  <c r="AS20" i="38" s="1"/>
  <c r="AM20" i="38"/>
  <c r="AY20" i="38" s="1"/>
  <c r="AL20" i="38"/>
  <c r="AX20" i="38" s="1"/>
  <c r="AK20" i="38"/>
  <c r="AW20" i="38" s="1"/>
  <c r="B20" i="38"/>
  <c r="A20" i="38"/>
  <c r="AQ19" i="38"/>
  <c r="AR19" i="38" s="1"/>
  <c r="AT19" i="38" s="1"/>
  <c r="AO19" i="38"/>
  <c r="AP19" i="38" s="1"/>
  <c r="AS19" i="38" s="1"/>
  <c r="AM19" i="38"/>
  <c r="AL19" i="38"/>
  <c r="AX19" i="38" s="1"/>
  <c r="AK19" i="38"/>
  <c r="B19" i="38"/>
  <c r="A19" i="38"/>
  <c r="AQ18" i="38"/>
  <c r="AR18" i="38" s="1"/>
  <c r="AT18" i="38" s="1"/>
  <c r="AO18" i="38"/>
  <c r="AP18" i="38" s="1"/>
  <c r="AS18" i="38" s="1"/>
  <c r="AM18" i="38"/>
  <c r="AY18" i="38" s="1"/>
  <c r="AL18" i="38"/>
  <c r="AX18" i="38" s="1"/>
  <c r="AK18" i="38"/>
  <c r="B18" i="38"/>
  <c r="A18" i="38"/>
  <c r="AQ17" i="38"/>
  <c r="AR17" i="38" s="1"/>
  <c r="AT17" i="38" s="1"/>
  <c r="AO17" i="38"/>
  <c r="AP17" i="38" s="1"/>
  <c r="AS17" i="38" s="1"/>
  <c r="AM17" i="38"/>
  <c r="AY17" i="38" s="1"/>
  <c r="AL17" i="38"/>
  <c r="AX17" i="38" s="1"/>
  <c r="AK17" i="38"/>
  <c r="AW17" i="38" s="1"/>
  <c r="B17" i="38"/>
  <c r="A17" i="38"/>
  <c r="AQ16" i="38"/>
  <c r="AR16" i="38" s="1"/>
  <c r="AT16" i="38" s="1"/>
  <c r="AO16" i="38"/>
  <c r="AP16" i="38" s="1"/>
  <c r="AS16" i="38" s="1"/>
  <c r="AM16" i="38"/>
  <c r="AL16" i="38"/>
  <c r="AX16" i="38" s="1"/>
  <c r="AK16" i="38"/>
  <c r="B16" i="38"/>
  <c r="A16" i="38"/>
  <c r="AQ15" i="38"/>
  <c r="AR15" i="38" s="1"/>
  <c r="AT15" i="38" s="1"/>
  <c r="AO15" i="38"/>
  <c r="AP15" i="38" s="1"/>
  <c r="AS15" i="38" s="1"/>
  <c r="AM15" i="38"/>
  <c r="AY15" i="38" s="1"/>
  <c r="AL15" i="38"/>
  <c r="AX15" i="38" s="1"/>
  <c r="AK15" i="38"/>
  <c r="AW15" i="38" s="1"/>
  <c r="B15" i="38"/>
  <c r="A15" i="38"/>
  <c r="AQ14" i="38"/>
  <c r="AR14" i="38" s="1"/>
  <c r="AT14" i="38" s="1"/>
  <c r="AO14" i="38"/>
  <c r="AP14" i="38" s="1"/>
  <c r="AS14" i="38" s="1"/>
  <c r="AM14" i="38"/>
  <c r="AY14" i="38" s="1"/>
  <c r="AL14" i="38"/>
  <c r="AX14" i="38" s="1"/>
  <c r="AK14" i="38"/>
  <c r="AW14" i="38" s="1"/>
  <c r="B14" i="38"/>
  <c r="A14" i="38"/>
  <c r="AQ13" i="38"/>
  <c r="AR13" i="38" s="1"/>
  <c r="AT13" i="38" s="1"/>
  <c r="AO13" i="38"/>
  <c r="AP13" i="38" s="1"/>
  <c r="AS13" i="38" s="1"/>
  <c r="AM13" i="38"/>
  <c r="AL13" i="38"/>
  <c r="AX13" i="38" s="1"/>
  <c r="AK13" i="38"/>
  <c r="B13" i="38"/>
  <c r="A13" i="38"/>
  <c r="AQ12" i="38"/>
  <c r="AR12" i="38" s="1"/>
  <c r="AT12" i="38" s="1"/>
  <c r="AO12" i="38"/>
  <c r="AP12" i="38" s="1"/>
  <c r="AS12" i="38" s="1"/>
  <c r="AM12" i="38"/>
  <c r="AY12" i="38" s="1"/>
  <c r="AL12" i="38"/>
  <c r="AX12" i="38" s="1"/>
  <c r="AK12" i="38"/>
  <c r="B12" i="38"/>
  <c r="A12" i="38"/>
  <c r="AQ11" i="38"/>
  <c r="AR11" i="38" s="1"/>
  <c r="AT11" i="38" s="1"/>
  <c r="AO11" i="38"/>
  <c r="AP11" i="38" s="1"/>
  <c r="AS11" i="38" s="1"/>
  <c r="AM11" i="38"/>
  <c r="AY11" i="38" s="1"/>
  <c r="AL11" i="38"/>
  <c r="AX11" i="38" s="1"/>
  <c r="AK11" i="38"/>
  <c r="AW11" i="38" s="1"/>
  <c r="B11" i="38"/>
  <c r="A11" i="38"/>
  <c r="AQ10" i="38"/>
  <c r="AR10" i="38" s="1"/>
  <c r="AT10" i="38" s="1"/>
  <c r="AO10" i="38"/>
  <c r="AM10" i="38"/>
  <c r="AL10" i="38"/>
  <c r="AX10" i="38" s="1"/>
  <c r="AK10" i="38"/>
  <c r="B10" i="38"/>
  <c r="A10" i="38"/>
  <c r="AQ9" i="38"/>
  <c r="AO9" i="38"/>
  <c r="AM9" i="38"/>
  <c r="AY9" i="38" s="1"/>
  <c r="AL9" i="38"/>
  <c r="AX9" i="38" s="1"/>
  <c r="AK9" i="38"/>
  <c r="AW9" i="38" s="1"/>
  <c r="B9" i="38"/>
  <c r="A9" i="38"/>
  <c r="AY8" i="38"/>
  <c r="AX8" i="38"/>
  <c r="AW8" i="38"/>
  <c r="AM7" i="38"/>
  <c r="AL7" i="38"/>
  <c r="AI7" i="38"/>
  <c r="W7" i="38"/>
  <c r="C7" i="38"/>
  <c r="AK7" i="38" s="1"/>
  <c r="BB5" i="38"/>
  <c r="BA5" i="38"/>
  <c r="AZ5" i="38"/>
  <c r="BB4" i="38"/>
  <c r="BA4" i="38"/>
  <c r="AZ4" i="38"/>
  <c r="AQ68" i="37"/>
  <c r="AR68" i="37" s="1"/>
  <c r="AT68" i="37" s="1"/>
  <c r="AO68" i="37"/>
  <c r="AP68" i="37" s="1"/>
  <c r="AS68" i="37" s="1"/>
  <c r="AM68" i="37"/>
  <c r="AL68" i="37"/>
  <c r="AK68" i="37"/>
  <c r="B68" i="37"/>
  <c r="A68" i="37"/>
  <c r="AQ67" i="37"/>
  <c r="AR67" i="37" s="1"/>
  <c r="AT67" i="37" s="1"/>
  <c r="AO67" i="37"/>
  <c r="AP67" i="37" s="1"/>
  <c r="AS67" i="37" s="1"/>
  <c r="AM67" i="37"/>
  <c r="AL67" i="37"/>
  <c r="AK67" i="37"/>
  <c r="AW67" i="37" s="1"/>
  <c r="B67" i="37"/>
  <c r="A67" i="37"/>
  <c r="AQ66" i="37"/>
  <c r="AR66" i="37" s="1"/>
  <c r="AT66" i="37" s="1"/>
  <c r="AO66" i="37"/>
  <c r="AP66" i="37" s="1"/>
  <c r="AS66" i="37" s="1"/>
  <c r="AM66" i="37"/>
  <c r="AY66" i="37" s="1"/>
  <c r="AL66" i="37"/>
  <c r="AX66" i="37" s="1"/>
  <c r="AK66" i="37"/>
  <c r="AW66" i="37" s="1"/>
  <c r="B66" i="37"/>
  <c r="A66" i="37"/>
  <c r="AQ65" i="37"/>
  <c r="AR65" i="37" s="1"/>
  <c r="AT65" i="37" s="1"/>
  <c r="AO65" i="37"/>
  <c r="AP65" i="37" s="1"/>
  <c r="AS65" i="37" s="1"/>
  <c r="AM65" i="37"/>
  <c r="AL65" i="37"/>
  <c r="AK65" i="37"/>
  <c r="B65" i="37"/>
  <c r="A65" i="37"/>
  <c r="AQ64" i="37"/>
  <c r="AR64" i="37" s="1"/>
  <c r="AT64" i="37" s="1"/>
  <c r="AO64" i="37"/>
  <c r="AP64" i="37" s="1"/>
  <c r="AS64" i="37" s="1"/>
  <c r="AM64" i="37"/>
  <c r="AL64" i="37"/>
  <c r="AK64" i="37"/>
  <c r="AW64" i="37" s="1"/>
  <c r="B64" i="37"/>
  <c r="A64" i="37"/>
  <c r="AQ63" i="37"/>
  <c r="AR63" i="37" s="1"/>
  <c r="AT63" i="37" s="1"/>
  <c r="AO63" i="37"/>
  <c r="AP63" i="37" s="1"/>
  <c r="AS63" i="37" s="1"/>
  <c r="AM63" i="37"/>
  <c r="AL63" i="37"/>
  <c r="AK63" i="37"/>
  <c r="AW63" i="37" s="1"/>
  <c r="B63" i="37"/>
  <c r="A63" i="37"/>
  <c r="AQ62" i="37"/>
  <c r="AR62" i="37" s="1"/>
  <c r="AT62" i="37" s="1"/>
  <c r="AO62" i="37"/>
  <c r="AP62" i="37" s="1"/>
  <c r="AS62" i="37" s="1"/>
  <c r="AM62" i="37"/>
  <c r="AL62" i="37"/>
  <c r="AK62" i="37"/>
  <c r="B62" i="37"/>
  <c r="A62" i="37"/>
  <c r="AQ61" i="37"/>
  <c r="AR61" i="37" s="1"/>
  <c r="AT61" i="37" s="1"/>
  <c r="AO61" i="37"/>
  <c r="AP61" i="37" s="1"/>
  <c r="AS61" i="37" s="1"/>
  <c r="AM61" i="37"/>
  <c r="AL61" i="37"/>
  <c r="AK61" i="37"/>
  <c r="AW61" i="37" s="1"/>
  <c r="B61" i="37"/>
  <c r="A61" i="37"/>
  <c r="AQ60" i="37"/>
  <c r="AR60" i="37" s="1"/>
  <c r="AT60" i="37" s="1"/>
  <c r="AO60" i="37"/>
  <c r="AP60" i="37" s="1"/>
  <c r="AS60" i="37" s="1"/>
  <c r="AM60" i="37"/>
  <c r="AL60" i="37"/>
  <c r="AK60" i="37"/>
  <c r="AW60" i="37" s="1"/>
  <c r="B60" i="37"/>
  <c r="A60" i="37"/>
  <c r="AQ59" i="37"/>
  <c r="AR59" i="37" s="1"/>
  <c r="AT59" i="37" s="1"/>
  <c r="AO59" i="37"/>
  <c r="AP59" i="37" s="1"/>
  <c r="AS59" i="37" s="1"/>
  <c r="AM59" i="37"/>
  <c r="AY59" i="37" s="1"/>
  <c r="AL59" i="37"/>
  <c r="AK59" i="37"/>
  <c r="B59" i="37"/>
  <c r="A59" i="37"/>
  <c r="AQ58" i="37"/>
  <c r="AR58" i="37" s="1"/>
  <c r="AT58" i="37" s="1"/>
  <c r="AO58" i="37"/>
  <c r="AP58" i="37" s="1"/>
  <c r="AS58" i="37" s="1"/>
  <c r="AM58" i="37"/>
  <c r="AL58" i="37"/>
  <c r="AK58" i="37"/>
  <c r="B58" i="37"/>
  <c r="A58" i="37"/>
  <c r="AQ57" i="37"/>
  <c r="AR57" i="37" s="1"/>
  <c r="AT57" i="37" s="1"/>
  <c r="AO57" i="37"/>
  <c r="AP57" i="37" s="1"/>
  <c r="AS57" i="37" s="1"/>
  <c r="AM57" i="37"/>
  <c r="AL57" i="37"/>
  <c r="AK57" i="37"/>
  <c r="AW57" i="37" s="1"/>
  <c r="B57" i="37"/>
  <c r="A57" i="37"/>
  <c r="AQ56" i="37"/>
  <c r="AR56" i="37" s="1"/>
  <c r="AT56" i="37" s="1"/>
  <c r="AO56" i="37"/>
  <c r="AP56" i="37" s="1"/>
  <c r="AS56" i="37" s="1"/>
  <c r="AM56" i="37"/>
  <c r="AL56" i="37"/>
  <c r="AK56" i="37"/>
  <c r="B56" i="37"/>
  <c r="A56" i="37"/>
  <c r="AQ55" i="37"/>
  <c r="AR55" i="37" s="1"/>
  <c r="AT55" i="37" s="1"/>
  <c r="AO55" i="37"/>
  <c r="AP55" i="37" s="1"/>
  <c r="AS55" i="37" s="1"/>
  <c r="AM55" i="37"/>
  <c r="AY55" i="37" s="1"/>
  <c r="AL55" i="37"/>
  <c r="AK55" i="37"/>
  <c r="AW55" i="37" s="1"/>
  <c r="B55" i="37"/>
  <c r="A55" i="37"/>
  <c r="AQ54" i="37"/>
  <c r="AR54" i="37" s="1"/>
  <c r="AT54" i="37" s="1"/>
  <c r="AO54" i="37"/>
  <c r="AP54" i="37" s="1"/>
  <c r="AS54" i="37" s="1"/>
  <c r="AM54" i="37"/>
  <c r="AY54" i="37" s="1"/>
  <c r="AL54" i="37"/>
  <c r="AK54" i="37"/>
  <c r="AW54" i="37" s="1"/>
  <c r="B54" i="37"/>
  <c r="A54" i="37"/>
  <c r="AQ53" i="37"/>
  <c r="AR53" i="37" s="1"/>
  <c r="AT53" i="37" s="1"/>
  <c r="AO53" i="37"/>
  <c r="AP53" i="37" s="1"/>
  <c r="AS53" i="37" s="1"/>
  <c r="AM53" i="37"/>
  <c r="AL53" i="37"/>
  <c r="AK53" i="37"/>
  <c r="AW53" i="37" s="1"/>
  <c r="B53" i="37"/>
  <c r="A53" i="37"/>
  <c r="AQ52" i="37"/>
  <c r="AR52" i="37" s="1"/>
  <c r="AT52" i="37" s="1"/>
  <c r="AO52" i="37"/>
  <c r="AP52" i="37" s="1"/>
  <c r="AS52" i="37" s="1"/>
  <c r="AM52" i="37"/>
  <c r="AY52" i="37" s="1"/>
  <c r="AL52" i="37"/>
  <c r="AK52" i="37"/>
  <c r="AW52" i="37" s="1"/>
  <c r="B52" i="37"/>
  <c r="A52" i="37"/>
  <c r="AQ51" i="37"/>
  <c r="AR51" i="37" s="1"/>
  <c r="AT51" i="37" s="1"/>
  <c r="AO51" i="37"/>
  <c r="AP51" i="37" s="1"/>
  <c r="AS51" i="37" s="1"/>
  <c r="AM51" i="37"/>
  <c r="AY51" i="37" s="1"/>
  <c r="AL51" i="37"/>
  <c r="AK51" i="37"/>
  <c r="AW51" i="37" s="1"/>
  <c r="B51" i="37"/>
  <c r="A51" i="37"/>
  <c r="AQ50" i="37"/>
  <c r="AR50" i="37" s="1"/>
  <c r="AT50" i="37" s="1"/>
  <c r="AO50" i="37"/>
  <c r="AP50" i="37" s="1"/>
  <c r="AS50" i="37" s="1"/>
  <c r="AM50" i="37"/>
  <c r="AL50" i="37"/>
  <c r="AK50" i="37"/>
  <c r="AW50" i="37" s="1"/>
  <c r="B50" i="37"/>
  <c r="A50" i="37"/>
  <c r="AQ49" i="37"/>
  <c r="AR49" i="37" s="1"/>
  <c r="AT49" i="37" s="1"/>
  <c r="AO49" i="37"/>
  <c r="AP49" i="37" s="1"/>
  <c r="AS49" i="37" s="1"/>
  <c r="AM49" i="37"/>
  <c r="AY49" i="37" s="1"/>
  <c r="AL49" i="37"/>
  <c r="AK49" i="37"/>
  <c r="AW49" i="37" s="1"/>
  <c r="B49" i="37"/>
  <c r="A49" i="37"/>
  <c r="AQ48" i="37"/>
  <c r="AR48" i="37" s="1"/>
  <c r="AT48" i="37" s="1"/>
  <c r="AO48" i="37"/>
  <c r="AP48" i="37" s="1"/>
  <c r="AS48" i="37" s="1"/>
  <c r="AM48" i="37"/>
  <c r="AY48" i="37" s="1"/>
  <c r="AL48" i="37"/>
  <c r="AK48" i="37"/>
  <c r="AW48" i="37" s="1"/>
  <c r="B48" i="37"/>
  <c r="A48" i="37"/>
  <c r="AQ47" i="37"/>
  <c r="AR47" i="37" s="1"/>
  <c r="AT47" i="37" s="1"/>
  <c r="AO47" i="37"/>
  <c r="AP47" i="37" s="1"/>
  <c r="AS47" i="37" s="1"/>
  <c r="AM47" i="37"/>
  <c r="AL47" i="37"/>
  <c r="AK47" i="37"/>
  <c r="AW47" i="37" s="1"/>
  <c r="B47" i="37"/>
  <c r="A47" i="37"/>
  <c r="AQ46" i="37"/>
  <c r="AR46" i="37" s="1"/>
  <c r="AT46" i="37" s="1"/>
  <c r="AO46" i="37"/>
  <c r="AP46" i="37" s="1"/>
  <c r="AS46" i="37" s="1"/>
  <c r="AM46" i="37"/>
  <c r="AY46" i="37" s="1"/>
  <c r="AL46" i="37"/>
  <c r="AK46" i="37"/>
  <c r="AW46" i="37" s="1"/>
  <c r="B46" i="37"/>
  <c r="A46" i="37"/>
  <c r="AQ45" i="37"/>
  <c r="AR45" i="37" s="1"/>
  <c r="AT45" i="37" s="1"/>
  <c r="AO45" i="37"/>
  <c r="AP45" i="37" s="1"/>
  <c r="AS45" i="37" s="1"/>
  <c r="AM45" i="37"/>
  <c r="AY45" i="37" s="1"/>
  <c r="AL45" i="37"/>
  <c r="AK45" i="37"/>
  <c r="AW45" i="37" s="1"/>
  <c r="B45" i="37"/>
  <c r="A45" i="37"/>
  <c r="AQ44" i="37"/>
  <c r="AR44" i="37" s="1"/>
  <c r="AT44" i="37" s="1"/>
  <c r="AO44" i="37"/>
  <c r="AP44" i="37" s="1"/>
  <c r="AS44" i="37" s="1"/>
  <c r="AM44" i="37"/>
  <c r="AL44" i="37"/>
  <c r="AK44" i="37"/>
  <c r="AW44" i="37" s="1"/>
  <c r="B44" i="37"/>
  <c r="A44" i="37"/>
  <c r="AQ43" i="37"/>
  <c r="AR43" i="37" s="1"/>
  <c r="AT43" i="37" s="1"/>
  <c r="AO43" i="37"/>
  <c r="AP43" i="37" s="1"/>
  <c r="AS43" i="37" s="1"/>
  <c r="AM43" i="37"/>
  <c r="AY43" i="37" s="1"/>
  <c r="AL43" i="37"/>
  <c r="AK43" i="37"/>
  <c r="AW43" i="37" s="1"/>
  <c r="B43" i="37"/>
  <c r="A43" i="37"/>
  <c r="AQ42" i="37"/>
  <c r="AR42" i="37" s="1"/>
  <c r="AT42" i="37" s="1"/>
  <c r="AO42" i="37"/>
  <c r="AP42" i="37" s="1"/>
  <c r="AS42" i="37" s="1"/>
  <c r="AM42" i="37"/>
  <c r="AY42" i="37" s="1"/>
  <c r="AL42" i="37"/>
  <c r="AK42" i="37"/>
  <c r="AW42" i="37" s="1"/>
  <c r="B42" i="37"/>
  <c r="A42" i="37"/>
  <c r="AQ41" i="37"/>
  <c r="AR41" i="37" s="1"/>
  <c r="AT41" i="37" s="1"/>
  <c r="AO41" i="37"/>
  <c r="AP41" i="37" s="1"/>
  <c r="AS41" i="37" s="1"/>
  <c r="AM41" i="37"/>
  <c r="AL41" i="37"/>
  <c r="AK41" i="37"/>
  <c r="AW41" i="37" s="1"/>
  <c r="B41" i="37"/>
  <c r="A41" i="37"/>
  <c r="AQ40" i="37"/>
  <c r="AR40" i="37" s="1"/>
  <c r="AT40" i="37" s="1"/>
  <c r="AO40" i="37"/>
  <c r="AP40" i="37" s="1"/>
  <c r="AS40" i="37" s="1"/>
  <c r="AM40" i="37"/>
  <c r="AY40" i="37" s="1"/>
  <c r="AL40" i="37"/>
  <c r="AK40" i="37"/>
  <c r="AW40" i="37" s="1"/>
  <c r="B40" i="37"/>
  <c r="A40" i="37"/>
  <c r="AQ39" i="37"/>
  <c r="AR39" i="37" s="1"/>
  <c r="AT39" i="37" s="1"/>
  <c r="AO39" i="37"/>
  <c r="AP39" i="37" s="1"/>
  <c r="AS39" i="37" s="1"/>
  <c r="AM39" i="37"/>
  <c r="AY39" i="37" s="1"/>
  <c r="AL39" i="37"/>
  <c r="AK39" i="37"/>
  <c r="AW39" i="37" s="1"/>
  <c r="B39" i="37"/>
  <c r="A39" i="37"/>
  <c r="AQ38" i="37"/>
  <c r="AR38" i="37" s="1"/>
  <c r="AT38" i="37" s="1"/>
  <c r="AO38" i="37"/>
  <c r="AP38" i="37" s="1"/>
  <c r="AS38" i="37" s="1"/>
  <c r="AM38" i="37"/>
  <c r="AL38" i="37"/>
  <c r="AK38" i="37"/>
  <c r="AW38" i="37" s="1"/>
  <c r="B38" i="37"/>
  <c r="A38" i="37"/>
  <c r="AQ37" i="37"/>
  <c r="AR37" i="37" s="1"/>
  <c r="AT37" i="37" s="1"/>
  <c r="AO37" i="37"/>
  <c r="AP37" i="37" s="1"/>
  <c r="AS37" i="37" s="1"/>
  <c r="AM37" i="37"/>
  <c r="AY37" i="37" s="1"/>
  <c r="AL37" i="37"/>
  <c r="AK37" i="37"/>
  <c r="AW37" i="37" s="1"/>
  <c r="B37" i="37"/>
  <c r="A37" i="37"/>
  <c r="AQ36" i="37"/>
  <c r="AR36" i="37" s="1"/>
  <c r="AT36" i="37" s="1"/>
  <c r="AO36" i="37"/>
  <c r="AP36" i="37" s="1"/>
  <c r="AS36" i="37" s="1"/>
  <c r="AM36" i="37"/>
  <c r="AY36" i="37" s="1"/>
  <c r="AL36" i="37"/>
  <c r="AK36" i="37"/>
  <c r="AW36" i="37" s="1"/>
  <c r="B36" i="37"/>
  <c r="A36" i="37"/>
  <c r="AQ35" i="37"/>
  <c r="AR35" i="37" s="1"/>
  <c r="AT35" i="37" s="1"/>
  <c r="AO35" i="37"/>
  <c r="AP35" i="37" s="1"/>
  <c r="AS35" i="37" s="1"/>
  <c r="AM35" i="37"/>
  <c r="AL35" i="37"/>
  <c r="AK35" i="37"/>
  <c r="AW35" i="37" s="1"/>
  <c r="B35" i="37"/>
  <c r="A35" i="37"/>
  <c r="AQ34" i="37"/>
  <c r="AR34" i="37" s="1"/>
  <c r="AT34" i="37" s="1"/>
  <c r="AO34" i="37"/>
  <c r="AP34" i="37" s="1"/>
  <c r="AS34" i="37" s="1"/>
  <c r="AM34" i="37"/>
  <c r="AY34" i="37" s="1"/>
  <c r="AL34" i="37"/>
  <c r="AK34" i="37"/>
  <c r="AW34" i="37" s="1"/>
  <c r="B34" i="37"/>
  <c r="A34" i="37"/>
  <c r="AQ33" i="37"/>
  <c r="AR33" i="37" s="1"/>
  <c r="AT33" i="37" s="1"/>
  <c r="AO33" i="37"/>
  <c r="AP33" i="37" s="1"/>
  <c r="AS33" i="37" s="1"/>
  <c r="AM33" i="37"/>
  <c r="AY33" i="37" s="1"/>
  <c r="AL33" i="37"/>
  <c r="AK33" i="37"/>
  <c r="AW33" i="37" s="1"/>
  <c r="B33" i="37"/>
  <c r="A33" i="37"/>
  <c r="AQ32" i="37"/>
  <c r="AR32" i="37" s="1"/>
  <c r="AT32" i="37" s="1"/>
  <c r="AO32" i="37"/>
  <c r="AP32" i="37" s="1"/>
  <c r="AS32" i="37" s="1"/>
  <c r="AM32" i="37"/>
  <c r="AL32" i="37"/>
  <c r="AK32" i="37"/>
  <c r="AW32" i="37" s="1"/>
  <c r="B32" i="37"/>
  <c r="A32" i="37"/>
  <c r="AQ31" i="37"/>
  <c r="AR31" i="37" s="1"/>
  <c r="AT31" i="37" s="1"/>
  <c r="AO31" i="37"/>
  <c r="AP31" i="37" s="1"/>
  <c r="AS31" i="37" s="1"/>
  <c r="AM31" i="37"/>
  <c r="AY31" i="37" s="1"/>
  <c r="AL31" i="37"/>
  <c r="AK31" i="37"/>
  <c r="AW31" i="37" s="1"/>
  <c r="B31" i="37"/>
  <c r="A31" i="37"/>
  <c r="AQ30" i="37"/>
  <c r="AR30" i="37" s="1"/>
  <c r="AT30" i="37" s="1"/>
  <c r="AO30" i="37"/>
  <c r="AP30" i="37" s="1"/>
  <c r="AS30" i="37" s="1"/>
  <c r="AM30" i="37"/>
  <c r="AY30" i="37" s="1"/>
  <c r="AL30" i="37"/>
  <c r="AK30" i="37"/>
  <c r="AW30" i="37" s="1"/>
  <c r="B30" i="37"/>
  <c r="A30" i="37"/>
  <c r="AQ29" i="37"/>
  <c r="AR29" i="37" s="1"/>
  <c r="AT29" i="37" s="1"/>
  <c r="AO29" i="37"/>
  <c r="AP29" i="37" s="1"/>
  <c r="AS29" i="37" s="1"/>
  <c r="AM29" i="37"/>
  <c r="AL29" i="37"/>
  <c r="AK29" i="37"/>
  <c r="AW29" i="37" s="1"/>
  <c r="B29" i="37"/>
  <c r="A29" i="37"/>
  <c r="AQ28" i="37"/>
  <c r="AR28" i="37" s="1"/>
  <c r="AT28" i="37" s="1"/>
  <c r="AO28" i="37"/>
  <c r="AP28" i="37" s="1"/>
  <c r="AS28" i="37" s="1"/>
  <c r="AM28" i="37"/>
  <c r="AY28" i="37" s="1"/>
  <c r="AL28" i="37"/>
  <c r="AK28" i="37"/>
  <c r="AW28" i="37" s="1"/>
  <c r="B28" i="37"/>
  <c r="A28" i="37"/>
  <c r="AQ27" i="37"/>
  <c r="AR27" i="37" s="1"/>
  <c r="AT27" i="37" s="1"/>
  <c r="AO27" i="37"/>
  <c r="AP27" i="37" s="1"/>
  <c r="AS27" i="37" s="1"/>
  <c r="AM27" i="37"/>
  <c r="AY27" i="37" s="1"/>
  <c r="AL27" i="37"/>
  <c r="AK27" i="37"/>
  <c r="AW27" i="37" s="1"/>
  <c r="B27" i="37"/>
  <c r="A27" i="37"/>
  <c r="AQ26" i="37"/>
  <c r="AR26" i="37" s="1"/>
  <c r="AT26" i="37" s="1"/>
  <c r="AO26" i="37"/>
  <c r="AP26" i="37" s="1"/>
  <c r="AS26" i="37" s="1"/>
  <c r="AM26" i="37"/>
  <c r="AL26" i="37"/>
  <c r="AK26" i="37"/>
  <c r="AW26" i="37" s="1"/>
  <c r="B26" i="37"/>
  <c r="A26" i="37"/>
  <c r="AQ25" i="37"/>
  <c r="AR25" i="37" s="1"/>
  <c r="AT25" i="37" s="1"/>
  <c r="AO25" i="37"/>
  <c r="AP25" i="37" s="1"/>
  <c r="AS25" i="37" s="1"/>
  <c r="AM25" i="37"/>
  <c r="AY25" i="37" s="1"/>
  <c r="AL25" i="37"/>
  <c r="AK25" i="37"/>
  <c r="AW25" i="37" s="1"/>
  <c r="B25" i="37"/>
  <c r="A25" i="37"/>
  <c r="AQ24" i="37"/>
  <c r="AR24" i="37" s="1"/>
  <c r="AT24" i="37" s="1"/>
  <c r="AO24" i="37"/>
  <c r="AP24" i="37" s="1"/>
  <c r="AS24" i="37" s="1"/>
  <c r="AM24" i="37"/>
  <c r="AL24" i="37"/>
  <c r="AK24" i="37"/>
  <c r="AW24" i="37" s="1"/>
  <c r="B24" i="37"/>
  <c r="A24" i="37"/>
  <c r="AQ23" i="37"/>
  <c r="AR23" i="37" s="1"/>
  <c r="AT23" i="37" s="1"/>
  <c r="AO23" i="37"/>
  <c r="AP23" i="37" s="1"/>
  <c r="AS23" i="37" s="1"/>
  <c r="AM23" i="37"/>
  <c r="AL23" i="37"/>
  <c r="AK23" i="37"/>
  <c r="AW23" i="37" s="1"/>
  <c r="B23" i="37"/>
  <c r="A23" i="37"/>
  <c r="AQ22" i="37"/>
  <c r="AR22" i="37" s="1"/>
  <c r="AT22" i="37" s="1"/>
  <c r="AO22" i="37"/>
  <c r="AP22" i="37" s="1"/>
  <c r="AS22" i="37" s="1"/>
  <c r="AM22" i="37"/>
  <c r="AL22" i="37"/>
  <c r="AK22" i="37"/>
  <c r="AW22" i="37" s="1"/>
  <c r="B22" i="37"/>
  <c r="A22" i="37"/>
  <c r="AQ21" i="37"/>
  <c r="AR21" i="37" s="1"/>
  <c r="AT21" i="37" s="1"/>
  <c r="AO21" i="37"/>
  <c r="AP21" i="37" s="1"/>
  <c r="AS21" i="37" s="1"/>
  <c r="AM21" i="37"/>
  <c r="AL21" i="37"/>
  <c r="AK21" i="37"/>
  <c r="AW21" i="37" s="1"/>
  <c r="B21" i="37"/>
  <c r="A21" i="37"/>
  <c r="AQ20" i="37"/>
  <c r="AR20" i="37" s="1"/>
  <c r="AT20" i="37" s="1"/>
  <c r="AO20" i="37"/>
  <c r="AP20" i="37" s="1"/>
  <c r="AS20" i="37" s="1"/>
  <c r="AM20" i="37"/>
  <c r="AL20" i="37"/>
  <c r="AK20" i="37"/>
  <c r="AW20" i="37" s="1"/>
  <c r="B20" i="37"/>
  <c r="A20" i="37"/>
  <c r="AQ19" i="37"/>
  <c r="AR19" i="37" s="1"/>
  <c r="AT19" i="37" s="1"/>
  <c r="AO19" i="37"/>
  <c r="AP19" i="37" s="1"/>
  <c r="AS19" i="37" s="1"/>
  <c r="AM19" i="37"/>
  <c r="AL19" i="37"/>
  <c r="AK19" i="37"/>
  <c r="AW19" i="37" s="1"/>
  <c r="B19" i="37"/>
  <c r="A19" i="37"/>
  <c r="AQ18" i="37"/>
  <c r="AR18" i="37" s="1"/>
  <c r="AT18" i="37" s="1"/>
  <c r="AO18" i="37"/>
  <c r="AP18" i="37" s="1"/>
  <c r="AS18" i="37" s="1"/>
  <c r="AM18" i="37"/>
  <c r="AY18" i="37" s="1"/>
  <c r="AL18" i="37"/>
  <c r="AX18" i="37" s="1"/>
  <c r="AK18" i="37"/>
  <c r="AW18" i="37" s="1"/>
  <c r="B18" i="37"/>
  <c r="A18" i="37"/>
  <c r="AQ17" i="37"/>
  <c r="AR17" i="37" s="1"/>
  <c r="AT17" i="37" s="1"/>
  <c r="AO17" i="37"/>
  <c r="AP17" i="37" s="1"/>
  <c r="AS17" i="37" s="1"/>
  <c r="AM17" i="37"/>
  <c r="AL17" i="37"/>
  <c r="AK17" i="37"/>
  <c r="AW17" i="37" s="1"/>
  <c r="B17" i="37"/>
  <c r="A17" i="37"/>
  <c r="AQ16" i="37"/>
  <c r="AR16" i="37" s="1"/>
  <c r="AT16" i="37" s="1"/>
  <c r="AO16" i="37"/>
  <c r="AP16" i="37" s="1"/>
  <c r="AS16" i="37" s="1"/>
  <c r="AM16" i="37"/>
  <c r="AL16" i="37"/>
  <c r="AX16" i="37" s="1"/>
  <c r="AK16" i="37"/>
  <c r="B16" i="37"/>
  <c r="A16" i="37"/>
  <c r="AQ15" i="37"/>
  <c r="AR15" i="37" s="1"/>
  <c r="AT15" i="37" s="1"/>
  <c r="AO15" i="37"/>
  <c r="AP15" i="37" s="1"/>
  <c r="AS15" i="37" s="1"/>
  <c r="AM15" i="37"/>
  <c r="AY15" i="37" s="1"/>
  <c r="AL15" i="37"/>
  <c r="AX15" i="37" s="1"/>
  <c r="AK15" i="37"/>
  <c r="B15" i="37"/>
  <c r="A15" i="37"/>
  <c r="AQ14" i="37"/>
  <c r="AR14" i="37" s="1"/>
  <c r="AT14" i="37" s="1"/>
  <c r="AO14" i="37"/>
  <c r="AP14" i="37" s="1"/>
  <c r="AS14" i="37" s="1"/>
  <c r="AM14" i="37"/>
  <c r="AL14" i="37"/>
  <c r="AK14" i="37"/>
  <c r="AW14" i="37" s="1"/>
  <c r="B14" i="37"/>
  <c r="A14" i="37"/>
  <c r="AQ13" i="37"/>
  <c r="AR13" i="37" s="1"/>
  <c r="AT13" i="37" s="1"/>
  <c r="AO13" i="37"/>
  <c r="AP13" i="37" s="1"/>
  <c r="AS13" i="37" s="1"/>
  <c r="AM13" i="37"/>
  <c r="AY13" i="37" s="1"/>
  <c r="AL13" i="37"/>
  <c r="AX13" i="37" s="1"/>
  <c r="AK13" i="37"/>
  <c r="AW13" i="37" s="1"/>
  <c r="B13" i="37"/>
  <c r="A13" i="37"/>
  <c r="AQ12" i="37"/>
  <c r="AR12" i="37" s="1"/>
  <c r="AT12" i="37" s="1"/>
  <c r="AO12" i="37"/>
  <c r="AP12" i="37" s="1"/>
  <c r="AS12" i="37" s="1"/>
  <c r="AM12" i="37"/>
  <c r="AL12" i="37"/>
  <c r="AK12" i="37"/>
  <c r="AW12" i="37" s="1"/>
  <c r="B12" i="37"/>
  <c r="A12" i="37"/>
  <c r="AQ11" i="37"/>
  <c r="AR11" i="37" s="1"/>
  <c r="AT11" i="37" s="1"/>
  <c r="AO11" i="37"/>
  <c r="AP11" i="37" s="1"/>
  <c r="AS11" i="37" s="1"/>
  <c r="AM11" i="37"/>
  <c r="AL11" i="37"/>
  <c r="AK11" i="37"/>
  <c r="AW11" i="37" s="1"/>
  <c r="B11" i="37"/>
  <c r="A11" i="37"/>
  <c r="AQ10" i="37"/>
  <c r="AR10" i="37" s="1"/>
  <c r="AT10" i="37" s="1"/>
  <c r="AO10" i="37"/>
  <c r="AM10" i="37"/>
  <c r="AL10" i="37"/>
  <c r="AK10" i="37"/>
  <c r="AW10" i="37" s="1"/>
  <c r="B10" i="37"/>
  <c r="A10" i="37"/>
  <c r="AQ9" i="37"/>
  <c r="AR9" i="37" s="1"/>
  <c r="AT9" i="37" s="1"/>
  <c r="AO9" i="37"/>
  <c r="AP9" i="37" s="1"/>
  <c r="AS9" i="37" s="1"/>
  <c r="AM9" i="37"/>
  <c r="AL9" i="37"/>
  <c r="AK9" i="37"/>
  <c r="AW9" i="37" s="1"/>
  <c r="B9" i="37"/>
  <c r="A9" i="37"/>
  <c r="AY8" i="37"/>
  <c r="AX8" i="37"/>
  <c r="AW8" i="37"/>
  <c r="AM7" i="37"/>
  <c r="AI7" i="37"/>
  <c r="W7" i="37"/>
  <c r="AL7" i="37" s="1"/>
  <c r="C7" i="37"/>
  <c r="AK7" i="37" s="1"/>
  <c r="BB5" i="37"/>
  <c r="BA5" i="37"/>
  <c r="AZ5" i="37"/>
  <c r="BB4" i="37"/>
  <c r="BA4" i="37"/>
  <c r="AZ4" i="37"/>
  <c r="AQ68" i="36"/>
  <c r="AR68" i="36" s="1"/>
  <c r="AT68" i="36" s="1"/>
  <c r="AO68" i="36"/>
  <c r="AP68" i="36" s="1"/>
  <c r="AS68" i="36" s="1"/>
  <c r="AM68" i="36"/>
  <c r="AL68" i="36"/>
  <c r="AK68" i="36"/>
  <c r="B68" i="36"/>
  <c r="A68" i="36"/>
  <c r="AQ67" i="36"/>
  <c r="AR67" i="36" s="1"/>
  <c r="AT67" i="36" s="1"/>
  <c r="AO67" i="36"/>
  <c r="AP67" i="36" s="1"/>
  <c r="AS67" i="36" s="1"/>
  <c r="AM67" i="36"/>
  <c r="AY67" i="36" s="1"/>
  <c r="AL67" i="36"/>
  <c r="AK67" i="36"/>
  <c r="B67" i="36"/>
  <c r="A67" i="36"/>
  <c r="AQ66" i="36"/>
  <c r="AR66" i="36" s="1"/>
  <c r="AT66" i="36" s="1"/>
  <c r="AO66" i="36"/>
  <c r="AP66" i="36" s="1"/>
  <c r="AS66" i="36" s="1"/>
  <c r="AM66" i="36"/>
  <c r="AL66" i="36"/>
  <c r="AK66" i="36"/>
  <c r="B66" i="36"/>
  <c r="A66" i="36"/>
  <c r="AQ65" i="36"/>
  <c r="AR65" i="36" s="1"/>
  <c r="AT65" i="36" s="1"/>
  <c r="AO65" i="36"/>
  <c r="AP65" i="36" s="1"/>
  <c r="AS65" i="36" s="1"/>
  <c r="AM65" i="36"/>
  <c r="AL65" i="36"/>
  <c r="AK65" i="36"/>
  <c r="B65" i="36"/>
  <c r="A65" i="36"/>
  <c r="AQ64" i="36"/>
  <c r="AR64" i="36" s="1"/>
  <c r="AT64" i="36" s="1"/>
  <c r="AO64" i="36"/>
  <c r="AP64" i="36" s="1"/>
  <c r="AS64" i="36" s="1"/>
  <c r="AM64" i="36"/>
  <c r="AL64" i="36"/>
  <c r="AK64" i="36"/>
  <c r="B64" i="36"/>
  <c r="A64" i="36"/>
  <c r="AQ63" i="36"/>
  <c r="AR63" i="36" s="1"/>
  <c r="AT63" i="36" s="1"/>
  <c r="AO63" i="36"/>
  <c r="AP63" i="36" s="1"/>
  <c r="AS63" i="36" s="1"/>
  <c r="AM63" i="36"/>
  <c r="AL63" i="36"/>
  <c r="AK63" i="36"/>
  <c r="B63" i="36"/>
  <c r="A63" i="36"/>
  <c r="AQ62" i="36"/>
  <c r="AR62" i="36" s="1"/>
  <c r="AT62" i="36" s="1"/>
  <c r="AO62" i="36"/>
  <c r="AP62" i="36" s="1"/>
  <c r="AS62" i="36" s="1"/>
  <c r="AM62" i="36"/>
  <c r="AL62" i="36"/>
  <c r="AK62" i="36"/>
  <c r="B62" i="36"/>
  <c r="A62" i="36"/>
  <c r="AQ61" i="36"/>
  <c r="AR61" i="36" s="1"/>
  <c r="AT61" i="36" s="1"/>
  <c r="AO61" i="36"/>
  <c r="AP61" i="36" s="1"/>
  <c r="AS61" i="36" s="1"/>
  <c r="AM61" i="36"/>
  <c r="AL61" i="36"/>
  <c r="AK61" i="36"/>
  <c r="B61" i="36"/>
  <c r="A61" i="36"/>
  <c r="AQ60" i="36"/>
  <c r="AR60" i="36" s="1"/>
  <c r="AT60" i="36" s="1"/>
  <c r="AO60" i="36"/>
  <c r="AP60" i="36" s="1"/>
  <c r="AS60" i="36" s="1"/>
  <c r="AM60" i="36"/>
  <c r="AL60" i="36"/>
  <c r="AK60" i="36"/>
  <c r="B60" i="36"/>
  <c r="A60" i="36"/>
  <c r="AQ59" i="36"/>
  <c r="AR59" i="36" s="1"/>
  <c r="AT59" i="36" s="1"/>
  <c r="AO59" i="36"/>
  <c r="AP59" i="36" s="1"/>
  <c r="AS59" i="36" s="1"/>
  <c r="AM59" i="36"/>
  <c r="AL59" i="36"/>
  <c r="AK59" i="36"/>
  <c r="B59" i="36"/>
  <c r="A59" i="36"/>
  <c r="AQ58" i="36"/>
  <c r="AR58" i="36" s="1"/>
  <c r="AT58" i="36" s="1"/>
  <c r="AO58" i="36"/>
  <c r="AP58" i="36" s="1"/>
  <c r="AS58" i="36" s="1"/>
  <c r="AM58" i="36"/>
  <c r="AL58" i="36"/>
  <c r="AK58" i="36"/>
  <c r="B58" i="36"/>
  <c r="A58" i="36"/>
  <c r="AQ57" i="36"/>
  <c r="AR57" i="36" s="1"/>
  <c r="AT57" i="36" s="1"/>
  <c r="AO57" i="36"/>
  <c r="AP57" i="36" s="1"/>
  <c r="AS57" i="36" s="1"/>
  <c r="AM57" i="36"/>
  <c r="AY57" i="36" s="1"/>
  <c r="AL57" i="36"/>
  <c r="AK57" i="36"/>
  <c r="B57" i="36"/>
  <c r="A57" i="36"/>
  <c r="AQ56" i="36"/>
  <c r="AR56" i="36" s="1"/>
  <c r="AT56" i="36" s="1"/>
  <c r="AO56" i="36"/>
  <c r="AP56" i="36" s="1"/>
  <c r="AS56" i="36" s="1"/>
  <c r="AM56" i="36"/>
  <c r="AL56" i="36"/>
  <c r="AK56" i="36"/>
  <c r="B56" i="36"/>
  <c r="A56" i="36"/>
  <c r="AQ55" i="36"/>
  <c r="AR55" i="36" s="1"/>
  <c r="AT55" i="36" s="1"/>
  <c r="AO55" i="36"/>
  <c r="AP55" i="36" s="1"/>
  <c r="AS55" i="36" s="1"/>
  <c r="AM55" i="36"/>
  <c r="AY55" i="36" s="1"/>
  <c r="AL55" i="36"/>
  <c r="AK55" i="36"/>
  <c r="B55" i="36"/>
  <c r="A55" i="36"/>
  <c r="AQ54" i="36"/>
  <c r="AR54" i="36" s="1"/>
  <c r="AT54" i="36" s="1"/>
  <c r="AO54" i="36"/>
  <c r="AP54" i="36" s="1"/>
  <c r="AS54" i="36" s="1"/>
  <c r="AM54" i="36"/>
  <c r="AY54" i="36" s="1"/>
  <c r="AL54" i="36"/>
  <c r="AX54" i="36" s="1"/>
  <c r="AK54" i="36"/>
  <c r="B54" i="36"/>
  <c r="A54" i="36"/>
  <c r="AQ53" i="36"/>
  <c r="AR53" i="36" s="1"/>
  <c r="AT53" i="36" s="1"/>
  <c r="AO53" i="36"/>
  <c r="AP53" i="36" s="1"/>
  <c r="AS53" i="36" s="1"/>
  <c r="AM53" i="36"/>
  <c r="AL53" i="36"/>
  <c r="AK53" i="36"/>
  <c r="B53" i="36"/>
  <c r="A53" i="36"/>
  <c r="AQ52" i="36"/>
  <c r="AR52" i="36" s="1"/>
  <c r="AT52" i="36" s="1"/>
  <c r="AO52" i="36"/>
  <c r="AP52" i="36" s="1"/>
  <c r="AS52" i="36" s="1"/>
  <c r="AM52" i="36"/>
  <c r="AY52" i="36" s="1"/>
  <c r="AL52" i="36"/>
  <c r="AK52" i="36"/>
  <c r="B52" i="36"/>
  <c r="A52" i="36"/>
  <c r="AQ51" i="36"/>
  <c r="AR51" i="36" s="1"/>
  <c r="AT51" i="36" s="1"/>
  <c r="AO51" i="36"/>
  <c r="AP51" i="36" s="1"/>
  <c r="AS51" i="36" s="1"/>
  <c r="AM51" i="36"/>
  <c r="AY51" i="36" s="1"/>
  <c r="AL51" i="36"/>
  <c r="AX51" i="36" s="1"/>
  <c r="AK51" i="36"/>
  <c r="B51" i="36"/>
  <c r="A51" i="36"/>
  <c r="AQ50" i="36"/>
  <c r="AR50" i="36" s="1"/>
  <c r="AT50" i="36" s="1"/>
  <c r="AO50" i="36"/>
  <c r="AP50" i="36" s="1"/>
  <c r="AS50" i="36" s="1"/>
  <c r="AM50" i="36"/>
  <c r="AL50" i="36"/>
  <c r="AK50" i="36"/>
  <c r="B50" i="36"/>
  <c r="A50" i="36"/>
  <c r="AQ49" i="36"/>
  <c r="AR49" i="36" s="1"/>
  <c r="AT49" i="36" s="1"/>
  <c r="AO49" i="36"/>
  <c r="AP49" i="36" s="1"/>
  <c r="AS49" i="36" s="1"/>
  <c r="AM49" i="36"/>
  <c r="AY49" i="36" s="1"/>
  <c r="AL49" i="36"/>
  <c r="AK49" i="36"/>
  <c r="B49" i="36"/>
  <c r="A49" i="36"/>
  <c r="AQ48" i="36"/>
  <c r="AR48" i="36" s="1"/>
  <c r="AT48" i="36" s="1"/>
  <c r="AO48" i="36"/>
  <c r="AP48" i="36" s="1"/>
  <c r="AS48" i="36" s="1"/>
  <c r="AM48" i="36"/>
  <c r="AL48" i="36"/>
  <c r="AK48" i="36"/>
  <c r="B48" i="36"/>
  <c r="A48" i="36"/>
  <c r="AQ47" i="36"/>
  <c r="AR47" i="36" s="1"/>
  <c r="AT47" i="36" s="1"/>
  <c r="AO47" i="36"/>
  <c r="AP47" i="36" s="1"/>
  <c r="AS47" i="36" s="1"/>
  <c r="AM47" i="36"/>
  <c r="AL47" i="36"/>
  <c r="AK47" i="36"/>
  <c r="B47" i="36"/>
  <c r="A47" i="36"/>
  <c r="AQ46" i="36"/>
  <c r="AR46" i="36" s="1"/>
  <c r="AT46" i="36" s="1"/>
  <c r="AO46" i="36"/>
  <c r="AP46" i="36" s="1"/>
  <c r="AS46" i="36" s="1"/>
  <c r="AM46" i="36"/>
  <c r="AL46" i="36"/>
  <c r="AK46" i="36"/>
  <c r="B46" i="36"/>
  <c r="A46" i="36"/>
  <c r="AQ45" i="36"/>
  <c r="AR45" i="36" s="1"/>
  <c r="AT45" i="36" s="1"/>
  <c r="AO45" i="36"/>
  <c r="AP45" i="36" s="1"/>
  <c r="AS45" i="36" s="1"/>
  <c r="AM45" i="36"/>
  <c r="AL45" i="36"/>
  <c r="AK45" i="36"/>
  <c r="B45" i="36"/>
  <c r="A45" i="36"/>
  <c r="AQ44" i="36"/>
  <c r="AR44" i="36" s="1"/>
  <c r="AT44" i="36" s="1"/>
  <c r="AO44" i="36"/>
  <c r="AP44" i="36" s="1"/>
  <c r="AS44" i="36" s="1"/>
  <c r="AM44" i="36"/>
  <c r="AL44" i="36"/>
  <c r="AK44" i="36"/>
  <c r="B44" i="36"/>
  <c r="A44" i="36"/>
  <c r="AQ43" i="36"/>
  <c r="AR43" i="36" s="1"/>
  <c r="AT43" i="36" s="1"/>
  <c r="AO43" i="36"/>
  <c r="AP43" i="36" s="1"/>
  <c r="AS43" i="36" s="1"/>
  <c r="AM43" i="36"/>
  <c r="AL43" i="36"/>
  <c r="AK43" i="36"/>
  <c r="B43" i="36"/>
  <c r="A43" i="36"/>
  <c r="AQ42" i="36"/>
  <c r="AR42" i="36" s="1"/>
  <c r="AT42" i="36" s="1"/>
  <c r="AO42" i="36"/>
  <c r="AP42" i="36" s="1"/>
  <c r="AS42" i="36" s="1"/>
  <c r="AM42" i="36"/>
  <c r="AL42" i="36"/>
  <c r="AK42" i="36"/>
  <c r="B42" i="36"/>
  <c r="A42" i="36"/>
  <c r="AQ41" i="36"/>
  <c r="AR41" i="36" s="1"/>
  <c r="AT41" i="36" s="1"/>
  <c r="AO41" i="36"/>
  <c r="AP41" i="36" s="1"/>
  <c r="AS41" i="36" s="1"/>
  <c r="AM41" i="36"/>
  <c r="AL41" i="36"/>
  <c r="AK41" i="36"/>
  <c r="B41" i="36"/>
  <c r="A41" i="36"/>
  <c r="AQ40" i="36"/>
  <c r="AR40" i="36" s="1"/>
  <c r="AT40" i="36" s="1"/>
  <c r="AO40" i="36"/>
  <c r="AP40" i="36" s="1"/>
  <c r="AS40" i="36" s="1"/>
  <c r="AM40" i="36"/>
  <c r="AL40" i="36"/>
  <c r="AK40" i="36"/>
  <c r="B40" i="36"/>
  <c r="A40" i="36"/>
  <c r="AQ39" i="36"/>
  <c r="AR39" i="36" s="1"/>
  <c r="AT39" i="36" s="1"/>
  <c r="AO39" i="36"/>
  <c r="AP39" i="36" s="1"/>
  <c r="AS39" i="36" s="1"/>
  <c r="AM39" i="36"/>
  <c r="AY39" i="36" s="1"/>
  <c r="AL39" i="36"/>
  <c r="AK39" i="36"/>
  <c r="B39" i="36"/>
  <c r="A39" i="36"/>
  <c r="AQ38" i="36"/>
  <c r="AR38" i="36" s="1"/>
  <c r="AT38" i="36" s="1"/>
  <c r="AO38" i="36"/>
  <c r="AP38" i="36" s="1"/>
  <c r="AS38" i="36" s="1"/>
  <c r="AM38" i="36"/>
  <c r="AL38" i="36"/>
  <c r="AK38" i="36"/>
  <c r="B38" i="36"/>
  <c r="A38" i="36"/>
  <c r="AQ37" i="36"/>
  <c r="AR37" i="36" s="1"/>
  <c r="AT37" i="36" s="1"/>
  <c r="AO37" i="36"/>
  <c r="AP37" i="36" s="1"/>
  <c r="AS37" i="36" s="1"/>
  <c r="AM37" i="36"/>
  <c r="AY37" i="36" s="1"/>
  <c r="AL37" i="36"/>
  <c r="AK37" i="36"/>
  <c r="B37" i="36"/>
  <c r="A37" i="36"/>
  <c r="AQ36" i="36"/>
  <c r="AR36" i="36" s="1"/>
  <c r="AT36" i="36" s="1"/>
  <c r="AO36" i="36"/>
  <c r="AP36" i="36" s="1"/>
  <c r="AS36" i="36" s="1"/>
  <c r="AM36" i="36"/>
  <c r="AY36" i="36" s="1"/>
  <c r="AL36" i="36"/>
  <c r="AX36" i="36" s="1"/>
  <c r="AK36" i="36"/>
  <c r="B36" i="36"/>
  <c r="A36" i="36"/>
  <c r="AQ35" i="36"/>
  <c r="AR35" i="36" s="1"/>
  <c r="AT35" i="36" s="1"/>
  <c r="AO35" i="36"/>
  <c r="AP35" i="36" s="1"/>
  <c r="AS35" i="36" s="1"/>
  <c r="AM35" i="36"/>
  <c r="AL35" i="36"/>
  <c r="AK35" i="36"/>
  <c r="B35" i="36"/>
  <c r="A35" i="36"/>
  <c r="AQ34" i="36"/>
  <c r="AR34" i="36" s="1"/>
  <c r="AT34" i="36" s="1"/>
  <c r="AO34" i="36"/>
  <c r="AP34" i="36" s="1"/>
  <c r="AS34" i="36" s="1"/>
  <c r="AM34" i="36"/>
  <c r="AL34" i="36"/>
  <c r="AK34" i="36"/>
  <c r="B34" i="36"/>
  <c r="A34" i="36"/>
  <c r="AQ33" i="36"/>
  <c r="AR33" i="36" s="1"/>
  <c r="AT33" i="36" s="1"/>
  <c r="AO33" i="36"/>
  <c r="AP33" i="36" s="1"/>
  <c r="AS33" i="36" s="1"/>
  <c r="AM33" i="36"/>
  <c r="AY33" i="36" s="1"/>
  <c r="AL33" i="36"/>
  <c r="AK33" i="36"/>
  <c r="B33" i="36"/>
  <c r="A33" i="36"/>
  <c r="AQ32" i="36"/>
  <c r="AR32" i="36" s="1"/>
  <c r="AT32" i="36" s="1"/>
  <c r="AO32" i="36"/>
  <c r="AP32" i="36" s="1"/>
  <c r="AS32" i="36" s="1"/>
  <c r="AM32" i="36"/>
  <c r="AY32" i="36" s="1"/>
  <c r="AL32" i="36"/>
  <c r="AK32" i="36"/>
  <c r="B32" i="36"/>
  <c r="A32" i="36"/>
  <c r="AQ31" i="36"/>
  <c r="AR31" i="36" s="1"/>
  <c r="AT31" i="36" s="1"/>
  <c r="AO31" i="36"/>
  <c r="AP31" i="36" s="1"/>
  <c r="AS31" i="36" s="1"/>
  <c r="AM31" i="36"/>
  <c r="AL31" i="36"/>
  <c r="AK31" i="36"/>
  <c r="B31" i="36"/>
  <c r="A31" i="36"/>
  <c r="AQ30" i="36"/>
  <c r="AR30" i="36" s="1"/>
  <c r="AT30" i="36" s="1"/>
  <c r="AO30" i="36"/>
  <c r="AP30" i="36" s="1"/>
  <c r="AS30" i="36" s="1"/>
  <c r="AM30" i="36"/>
  <c r="AL30" i="36"/>
  <c r="AK30" i="36"/>
  <c r="B30" i="36"/>
  <c r="A30" i="36"/>
  <c r="AQ29" i="36"/>
  <c r="AR29" i="36" s="1"/>
  <c r="AT29" i="36" s="1"/>
  <c r="AO29" i="36"/>
  <c r="AP29" i="36" s="1"/>
  <c r="AS29" i="36" s="1"/>
  <c r="AM29" i="36"/>
  <c r="AL29" i="36"/>
  <c r="AK29" i="36"/>
  <c r="B29" i="36"/>
  <c r="A29" i="36"/>
  <c r="AQ28" i="36"/>
  <c r="AR28" i="36" s="1"/>
  <c r="AT28" i="36" s="1"/>
  <c r="AO28" i="36"/>
  <c r="AP28" i="36" s="1"/>
  <c r="AS28" i="36" s="1"/>
  <c r="AM28" i="36"/>
  <c r="AL28" i="36"/>
  <c r="AK28" i="36"/>
  <c r="AW28" i="36" s="1"/>
  <c r="B28" i="36"/>
  <c r="A28" i="36"/>
  <c r="AQ27" i="36"/>
  <c r="AR27" i="36" s="1"/>
  <c r="AT27" i="36" s="1"/>
  <c r="AO27" i="36"/>
  <c r="AP27" i="36" s="1"/>
  <c r="AS27" i="36" s="1"/>
  <c r="AM27" i="36"/>
  <c r="AL27" i="36"/>
  <c r="AX27" i="36" s="1"/>
  <c r="AK27" i="36"/>
  <c r="B27" i="36"/>
  <c r="A27" i="36"/>
  <c r="AQ26" i="36"/>
  <c r="AR26" i="36" s="1"/>
  <c r="AT26" i="36" s="1"/>
  <c r="AO26" i="36"/>
  <c r="AP26" i="36" s="1"/>
  <c r="AS26" i="36" s="1"/>
  <c r="AM26" i="36"/>
  <c r="AL26" i="36"/>
  <c r="AK26" i="36"/>
  <c r="B26" i="36"/>
  <c r="A26" i="36"/>
  <c r="AQ25" i="36"/>
  <c r="AR25" i="36" s="1"/>
  <c r="AT25" i="36" s="1"/>
  <c r="AO25" i="36"/>
  <c r="AP25" i="36" s="1"/>
  <c r="AS25" i="36" s="1"/>
  <c r="AM25" i="36"/>
  <c r="AY25" i="36" s="1"/>
  <c r="AL25" i="36"/>
  <c r="AX25" i="36" s="1"/>
  <c r="AK25" i="36"/>
  <c r="B25" i="36"/>
  <c r="A25" i="36"/>
  <c r="AQ24" i="36"/>
  <c r="AR24" i="36" s="1"/>
  <c r="AT24" i="36" s="1"/>
  <c r="AO24" i="36"/>
  <c r="AP24" i="36" s="1"/>
  <c r="AS24" i="36" s="1"/>
  <c r="AM24" i="36"/>
  <c r="AL24" i="36"/>
  <c r="AK24" i="36"/>
  <c r="B24" i="36"/>
  <c r="A24" i="36"/>
  <c r="AQ23" i="36"/>
  <c r="AR23" i="36" s="1"/>
  <c r="AT23" i="36" s="1"/>
  <c r="AO23" i="36"/>
  <c r="AP23" i="36" s="1"/>
  <c r="AS23" i="36" s="1"/>
  <c r="AM23" i="36"/>
  <c r="AL23" i="36"/>
  <c r="AK23" i="36"/>
  <c r="B23" i="36"/>
  <c r="A23" i="36"/>
  <c r="AQ22" i="36"/>
  <c r="AR22" i="36" s="1"/>
  <c r="AT22" i="36" s="1"/>
  <c r="AO22" i="36"/>
  <c r="AP22" i="36" s="1"/>
  <c r="AS22" i="36" s="1"/>
  <c r="AM22" i="36"/>
  <c r="AL22" i="36"/>
  <c r="AK22" i="36"/>
  <c r="B22" i="36"/>
  <c r="A22" i="36"/>
  <c r="AQ21" i="36"/>
  <c r="AR21" i="36" s="1"/>
  <c r="AT21" i="36" s="1"/>
  <c r="AO21" i="36"/>
  <c r="AP21" i="36" s="1"/>
  <c r="AS21" i="36" s="1"/>
  <c r="AM21" i="36"/>
  <c r="AY21" i="36" s="1"/>
  <c r="AL21" i="36"/>
  <c r="AK21" i="36"/>
  <c r="B21" i="36"/>
  <c r="A21" i="36"/>
  <c r="AQ20" i="36"/>
  <c r="AR20" i="36" s="1"/>
  <c r="AT20" i="36" s="1"/>
  <c r="AO20" i="36"/>
  <c r="AP20" i="36" s="1"/>
  <c r="AS20" i="36" s="1"/>
  <c r="AM20" i="36"/>
  <c r="AY20" i="36" s="1"/>
  <c r="AL20" i="36"/>
  <c r="AK20" i="36"/>
  <c r="B20" i="36"/>
  <c r="A20" i="36"/>
  <c r="AQ19" i="36"/>
  <c r="AR19" i="36" s="1"/>
  <c r="AT19" i="36" s="1"/>
  <c r="AO19" i="36"/>
  <c r="AP19" i="36" s="1"/>
  <c r="AS19" i="36" s="1"/>
  <c r="AM19" i="36"/>
  <c r="AL19" i="36"/>
  <c r="AK19" i="36"/>
  <c r="B19" i="36"/>
  <c r="A19" i="36"/>
  <c r="AQ18" i="36"/>
  <c r="AR18" i="36" s="1"/>
  <c r="AT18" i="36" s="1"/>
  <c r="AO18" i="36"/>
  <c r="AP18" i="36" s="1"/>
  <c r="AS18" i="36" s="1"/>
  <c r="AM18" i="36"/>
  <c r="AL18" i="36"/>
  <c r="AK18" i="36"/>
  <c r="B18" i="36"/>
  <c r="A18" i="36"/>
  <c r="AQ17" i="36"/>
  <c r="AR17" i="36" s="1"/>
  <c r="AT17" i="36" s="1"/>
  <c r="AO17" i="36"/>
  <c r="AP17" i="36" s="1"/>
  <c r="AS17" i="36" s="1"/>
  <c r="AM17" i="36"/>
  <c r="AL17" i="36"/>
  <c r="AK17" i="36"/>
  <c r="B17" i="36"/>
  <c r="A17" i="36"/>
  <c r="AQ16" i="36"/>
  <c r="AR16" i="36" s="1"/>
  <c r="AT16" i="36" s="1"/>
  <c r="AO16" i="36"/>
  <c r="AP16" i="36" s="1"/>
  <c r="AS16" i="36" s="1"/>
  <c r="AM16" i="36"/>
  <c r="AL16" i="36"/>
  <c r="AK16" i="36"/>
  <c r="AW16" i="36" s="1"/>
  <c r="B16" i="36"/>
  <c r="A16" i="36"/>
  <c r="AQ15" i="36"/>
  <c r="AR15" i="36" s="1"/>
  <c r="AT15" i="36" s="1"/>
  <c r="AO15" i="36"/>
  <c r="AP15" i="36" s="1"/>
  <c r="AS15" i="36" s="1"/>
  <c r="AM15" i="36"/>
  <c r="AL15" i="36"/>
  <c r="AX15" i="36" s="1"/>
  <c r="AK15" i="36"/>
  <c r="B15" i="36"/>
  <c r="A15" i="36"/>
  <c r="AQ14" i="36"/>
  <c r="AR14" i="36" s="1"/>
  <c r="AT14" i="36" s="1"/>
  <c r="AO14" i="36"/>
  <c r="AP14" i="36" s="1"/>
  <c r="AS14" i="36" s="1"/>
  <c r="AM14" i="36"/>
  <c r="AL14" i="36"/>
  <c r="AK14" i="36"/>
  <c r="B14" i="36"/>
  <c r="A14" i="36"/>
  <c r="AQ13" i="36"/>
  <c r="AR13" i="36" s="1"/>
  <c r="AT13" i="36" s="1"/>
  <c r="AO13" i="36"/>
  <c r="AP13" i="36" s="1"/>
  <c r="AS13" i="36" s="1"/>
  <c r="AM13" i="36"/>
  <c r="AY13" i="36" s="1"/>
  <c r="AL13" i="36"/>
  <c r="AX13" i="36" s="1"/>
  <c r="AK13" i="36"/>
  <c r="B13" i="36"/>
  <c r="A13" i="36"/>
  <c r="AQ12" i="36"/>
  <c r="AR12" i="36" s="1"/>
  <c r="AT12" i="36" s="1"/>
  <c r="AO12" i="36"/>
  <c r="AP12" i="36" s="1"/>
  <c r="AS12" i="36" s="1"/>
  <c r="AM12" i="36"/>
  <c r="AL12" i="36"/>
  <c r="AK12" i="36"/>
  <c r="B12" i="36"/>
  <c r="A12" i="36"/>
  <c r="AQ11" i="36"/>
  <c r="AR11" i="36" s="1"/>
  <c r="AT11" i="36" s="1"/>
  <c r="AO11" i="36"/>
  <c r="AP11" i="36" s="1"/>
  <c r="AS11" i="36" s="1"/>
  <c r="AM11" i="36"/>
  <c r="AL11" i="36"/>
  <c r="AK11" i="36"/>
  <c r="B11" i="36"/>
  <c r="A11" i="36"/>
  <c r="AQ10" i="36"/>
  <c r="AR10" i="36" s="1"/>
  <c r="AT10" i="36" s="1"/>
  <c r="AO10" i="36"/>
  <c r="AP10" i="36" s="1"/>
  <c r="AS10" i="36" s="1"/>
  <c r="AM10" i="36"/>
  <c r="AL10" i="36"/>
  <c r="AK10" i="36"/>
  <c r="B10" i="36"/>
  <c r="A10" i="36"/>
  <c r="AQ9" i="36"/>
  <c r="AR9" i="36" s="1"/>
  <c r="AT9" i="36" s="1"/>
  <c r="AO9" i="36"/>
  <c r="AP9" i="36" s="1"/>
  <c r="AS9" i="36" s="1"/>
  <c r="AM9" i="36"/>
  <c r="AY9" i="36" s="1"/>
  <c r="AL9" i="36"/>
  <c r="AK9" i="36"/>
  <c r="B9" i="36"/>
  <c r="A9" i="36"/>
  <c r="AY8" i="36"/>
  <c r="AX8" i="36"/>
  <c r="AW8" i="36"/>
  <c r="AM7" i="36"/>
  <c r="AI7" i="36"/>
  <c r="W7" i="36"/>
  <c r="AL7" i="36" s="1"/>
  <c r="C7" i="36"/>
  <c r="AK7" i="36" s="1"/>
  <c r="BB5" i="36"/>
  <c r="BA5" i="36"/>
  <c r="AZ5" i="36"/>
  <c r="BB4" i="36"/>
  <c r="BA4" i="36"/>
  <c r="AZ4" i="36"/>
  <c r="AQ68" i="35"/>
  <c r="AR68" i="35" s="1"/>
  <c r="AT68" i="35" s="1"/>
  <c r="AO68" i="35"/>
  <c r="AP68" i="35" s="1"/>
  <c r="AS68" i="35" s="1"/>
  <c r="AM68" i="35"/>
  <c r="AL68" i="35"/>
  <c r="AK68" i="35"/>
  <c r="B68" i="35"/>
  <c r="A68" i="35"/>
  <c r="AQ67" i="35"/>
  <c r="AR67" i="35" s="1"/>
  <c r="AT67" i="35" s="1"/>
  <c r="AO67" i="35"/>
  <c r="AP67" i="35" s="1"/>
  <c r="AS67" i="35" s="1"/>
  <c r="AM67" i="35"/>
  <c r="AL67" i="35"/>
  <c r="AK67" i="35"/>
  <c r="B67" i="35"/>
  <c r="A67" i="35"/>
  <c r="AQ66" i="35"/>
  <c r="AR66" i="35" s="1"/>
  <c r="AT66" i="35" s="1"/>
  <c r="AO66" i="35"/>
  <c r="AP66" i="35" s="1"/>
  <c r="AS66" i="35" s="1"/>
  <c r="AM66" i="35"/>
  <c r="AY66" i="35" s="1"/>
  <c r="AL66" i="35"/>
  <c r="AX66" i="35" s="1"/>
  <c r="AK66" i="35"/>
  <c r="AW66" i="35" s="1"/>
  <c r="B66" i="35"/>
  <c r="A66" i="35"/>
  <c r="AQ65" i="35"/>
  <c r="AR65" i="35" s="1"/>
  <c r="AT65" i="35" s="1"/>
  <c r="AO65" i="35"/>
  <c r="AP65" i="35" s="1"/>
  <c r="AS65" i="35" s="1"/>
  <c r="AM65" i="35"/>
  <c r="AL65" i="35"/>
  <c r="AX65" i="35" s="1"/>
  <c r="AK65" i="35"/>
  <c r="B65" i="35"/>
  <c r="A65" i="35"/>
  <c r="AQ64" i="35"/>
  <c r="AR64" i="35" s="1"/>
  <c r="AT64" i="35" s="1"/>
  <c r="AO64" i="35"/>
  <c r="AP64" i="35" s="1"/>
  <c r="AS64" i="35" s="1"/>
  <c r="AM64" i="35"/>
  <c r="AL64" i="35"/>
  <c r="AK64" i="35"/>
  <c r="B64" i="35"/>
  <c r="A64" i="35"/>
  <c r="AQ63" i="35"/>
  <c r="AR63" i="35" s="1"/>
  <c r="AT63" i="35" s="1"/>
  <c r="AO63" i="35"/>
  <c r="AP63" i="35" s="1"/>
  <c r="AS63" i="35" s="1"/>
  <c r="AM63" i="35"/>
  <c r="AL63" i="35"/>
  <c r="AK63" i="35"/>
  <c r="AW63" i="35" s="1"/>
  <c r="B63" i="35"/>
  <c r="A63" i="35"/>
  <c r="AQ62" i="35"/>
  <c r="AR62" i="35" s="1"/>
  <c r="AT62" i="35" s="1"/>
  <c r="AO62" i="35"/>
  <c r="AP62" i="35" s="1"/>
  <c r="AS62" i="35" s="1"/>
  <c r="AM62" i="35"/>
  <c r="AY62" i="35" s="1"/>
  <c r="AL62" i="35"/>
  <c r="AK62" i="35"/>
  <c r="B62" i="35"/>
  <c r="A62" i="35"/>
  <c r="AQ61" i="35"/>
  <c r="AR61" i="35" s="1"/>
  <c r="AT61" i="35" s="1"/>
  <c r="AO61" i="35"/>
  <c r="AP61" i="35" s="1"/>
  <c r="AS61" i="35" s="1"/>
  <c r="AM61" i="35"/>
  <c r="AL61" i="35"/>
  <c r="AK61" i="35"/>
  <c r="B61" i="35"/>
  <c r="A61" i="35"/>
  <c r="AQ60" i="35"/>
  <c r="AR60" i="35" s="1"/>
  <c r="AT60" i="35" s="1"/>
  <c r="AO60" i="35"/>
  <c r="AP60" i="35" s="1"/>
  <c r="AS60" i="35" s="1"/>
  <c r="AM60" i="35"/>
  <c r="AL60" i="35"/>
  <c r="AK60" i="35"/>
  <c r="B60" i="35"/>
  <c r="A60" i="35"/>
  <c r="AQ59" i="35"/>
  <c r="AR59" i="35" s="1"/>
  <c r="AT59" i="35" s="1"/>
  <c r="AO59" i="35"/>
  <c r="AP59" i="35" s="1"/>
  <c r="AS59" i="35" s="1"/>
  <c r="AM59" i="35"/>
  <c r="AY59" i="35" s="1"/>
  <c r="AL59" i="35"/>
  <c r="AX59" i="35" s="1"/>
  <c r="AK59" i="35"/>
  <c r="B59" i="35"/>
  <c r="A59" i="35"/>
  <c r="AQ58" i="35"/>
  <c r="AR58" i="35" s="1"/>
  <c r="AT58" i="35" s="1"/>
  <c r="AO58" i="35"/>
  <c r="AP58" i="35" s="1"/>
  <c r="AS58" i="35" s="1"/>
  <c r="AM58" i="35"/>
  <c r="AL58" i="35"/>
  <c r="AK58" i="35"/>
  <c r="B58" i="35"/>
  <c r="A58" i="35"/>
  <c r="AQ57" i="35"/>
  <c r="AR57" i="35" s="1"/>
  <c r="AT57" i="35" s="1"/>
  <c r="AO57" i="35"/>
  <c r="AP57" i="35" s="1"/>
  <c r="AS57" i="35" s="1"/>
  <c r="AM57" i="35"/>
  <c r="AL57" i="35"/>
  <c r="AK57" i="35"/>
  <c r="B57" i="35"/>
  <c r="A57" i="35"/>
  <c r="AQ56" i="35"/>
  <c r="AR56" i="35" s="1"/>
  <c r="AT56" i="35" s="1"/>
  <c r="AO56" i="35"/>
  <c r="AP56" i="35" s="1"/>
  <c r="AS56" i="35" s="1"/>
  <c r="AM56" i="35"/>
  <c r="AL56" i="35"/>
  <c r="AK56" i="35"/>
  <c r="B56" i="35"/>
  <c r="A56" i="35"/>
  <c r="AQ55" i="35"/>
  <c r="AR55" i="35" s="1"/>
  <c r="AT55" i="35" s="1"/>
  <c r="AO55" i="35"/>
  <c r="AP55" i="35" s="1"/>
  <c r="AS55" i="35" s="1"/>
  <c r="AM55" i="35"/>
  <c r="AL55" i="35"/>
  <c r="AK55" i="35"/>
  <c r="B55" i="35"/>
  <c r="A55" i="35"/>
  <c r="AQ54" i="35"/>
  <c r="AR54" i="35" s="1"/>
  <c r="AT54" i="35" s="1"/>
  <c r="AO54" i="35"/>
  <c r="AP54" i="35" s="1"/>
  <c r="AS54" i="35" s="1"/>
  <c r="AM54" i="35"/>
  <c r="AL54" i="35"/>
  <c r="AK54" i="35"/>
  <c r="B54" i="35"/>
  <c r="A54" i="35"/>
  <c r="AQ53" i="35"/>
  <c r="AR53" i="35" s="1"/>
  <c r="AT53" i="35" s="1"/>
  <c r="AO53" i="35"/>
  <c r="AP53" i="35" s="1"/>
  <c r="AS53" i="35" s="1"/>
  <c r="AM53" i="35"/>
  <c r="AL53" i="35"/>
  <c r="AK53" i="35"/>
  <c r="B53" i="35"/>
  <c r="A53" i="35"/>
  <c r="AQ52" i="35"/>
  <c r="AR52" i="35" s="1"/>
  <c r="AT52" i="35" s="1"/>
  <c r="AO52" i="35"/>
  <c r="AP52" i="35" s="1"/>
  <c r="AS52" i="35" s="1"/>
  <c r="AM52" i="35"/>
  <c r="AL52" i="35"/>
  <c r="AK52" i="35"/>
  <c r="AW52" i="35" s="1"/>
  <c r="B52" i="35"/>
  <c r="A52" i="35"/>
  <c r="AQ51" i="35"/>
  <c r="AR51" i="35" s="1"/>
  <c r="AT51" i="35" s="1"/>
  <c r="AO51" i="35"/>
  <c r="AP51" i="35" s="1"/>
  <c r="AS51" i="35" s="1"/>
  <c r="AM51" i="35"/>
  <c r="AY51" i="35" s="1"/>
  <c r="AL51" i="35"/>
  <c r="AX51" i="35" s="1"/>
  <c r="AK51" i="35"/>
  <c r="B51" i="35"/>
  <c r="A51" i="35"/>
  <c r="AQ50" i="35"/>
  <c r="AR50" i="35" s="1"/>
  <c r="AT50" i="35" s="1"/>
  <c r="AO50" i="35"/>
  <c r="AP50" i="35" s="1"/>
  <c r="AS50" i="35" s="1"/>
  <c r="AM50" i="35"/>
  <c r="AL50" i="35"/>
  <c r="AK50" i="35"/>
  <c r="B50" i="35"/>
  <c r="A50" i="35"/>
  <c r="AQ49" i="35"/>
  <c r="AR49" i="35" s="1"/>
  <c r="AT49" i="35" s="1"/>
  <c r="AO49" i="35"/>
  <c r="AP49" i="35" s="1"/>
  <c r="AS49" i="35" s="1"/>
  <c r="AM49" i="35"/>
  <c r="AL49" i="35"/>
  <c r="AK49" i="35"/>
  <c r="B49" i="35"/>
  <c r="A49" i="35"/>
  <c r="AQ48" i="35"/>
  <c r="AR48" i="35" s="1"/>
  <c r="AT48" i="35" s="1"/>
  <c r="AO48" i="35"/>
  <c r="AP48" i="35" s="1"/>
  <c r="AS48" i="35" s="1"/>
  <c r="AM48" i="35"/>
  <c r="AY48" i="35" s="1"/>
  <c r="AL48" i="35"/>
  <c r="AK48" i="35"/>
  <c r="B48" i="35"/>
  <c r="A48" i="35"/>
  <c r="AQ47" i="35"/>
  <c r="AR47" i="35" s="1"/>
  <c r="AT47" i="35" s="1"/>
  <c r="AO47" i="35"/>
  <c r="AP47" i="35" s="1"/>
  <c r="AS47" i="35" s="1"/>
  <c r="AM47" i="35"/>
  <c r="AL47" i="35"/>
  <c r="AK47" i="35"/>
  <c r="B47" i="35"/>
  <c r="A47" i="35"/>
  <c r="AQ46" i="35"/>
  <c r="AR46" i="35" s="1"/>
  <c r="AT46" i="35" s="1"/>
  <c r="AO46" i="35"/>
  <c r="AP46" i="35" s="1"/>
  <c r="AS46" i="35" s="1"/>
  <c r="AM46" i="35"/>
  <c r="AL46" i="35"/>
  <c r="AK46" i="35"/>
  <c r="B46" i="35"/>
  <c r="A46" i="35"/>
  <c r="AQ45" i="35"/>
  <c r="AR45" i="35" s="1"/>
  <c r="AT45" i="35" s="1"/>
  <c r="AO45" i="35"/>
  <c r="AP45" i="35" s="1"/>
  <c r="AS45" i="35" s="1"/>
  <c r="AM45" i="35"/>
  <c r="AY45" i="35" s="1"/>
  <c r="AL45" i="35"/>
  <c r="AX45" i="35" s="1"/>
  <c r="AK45" i="35"/>
  <c r="B45" i="35"/>
  <c r="A45" i="35"/>
  <c r="AQ44" i="35"/>
  <c r="AR44" i="35" s="1"/>
  <c r="AT44" i="35" s="1"/>
  <c r="AO44" i="35"/>
  <c r="AP44" i="35" s="1"/>
  <c r="AS44" i="35" s="1"/>
  <c r="AM44" i="35"/>
  <c r="AL44" i="35"/>
  <c r="AK44" i="35"/>
  <c r="B44" i="35"/>
  <c r="A44" i="35"/>
  <c r="AQ43" i="35"/>
  <c r="AR43" i="35" s="1"/>
  <c r="AT43" i="35" s="1"/>
  <c r="AO43" i="35"/>
  <c r="AP43" i="35" s="1"/>
  <c r="AS43" i="35" s="1"/>
  <c r="AM43" i="35"/>
  <c r="AL43" i="35"/>
  <c r="AK43" i="35"/>
  <c r="B43" i="35"/>
  <c r="A43" i="35"/>
  <c r="AQ42" i="35"/>
  <c r="AR42" i="35" s="1"/>
  <c r="AT42" i="35" s="1"/>
  <c r="AO42" i="35"/>
  <c r="AP42" i="35" s="1"/>
  <c r="AS42" i="35" s="1"/>
  <c r="AM42" i="35"/>
  <c r="AY42" i="35" s="1"/>
  <c r="AL42" i="35"/>
  <c r="AX42" i="35" s="1"/>
  <c r="AK42" i="35"/>
  <c r="B42" i="35"/>
  <c r="A42" i="35"/>
  <c r="AQ41" i="35"/>
  <c r="AR41" i="35" s="1"/>
  <c r="AT41" i="35" s="1"/>
  <c r="AO41" i="35"/>
  <c r="AP41" i="35" s="1"/>
  <c r="AS41" i="35" s="1"/>
  <c r="AM41" i="35"/>
  <c r="AL41" i="35"/>
  <c r="AK41" i="35"/>
  <c r="B41" i="35"/>
  <c r="A41" i="35"/>
  <c r="AQ40" i="35"/>
  <c r="AR40" i="35" s="1"/>
  <c r="AT40" i="35" s="1"/>
  <c r="AO40" i="35"/>
  <c r="AP40" i="35" s="1"/>
  <c r="AS40" i="35" s="1"/>
  <c r="AM40" i="35"/>
  <c r="AL40" i="35"/>
  <c r="AK40" i="35"/>
  <c r="B40" i="35"/>
  <c r="A40" i="35"/>
  <c r="AQ39" i="35"/>
  <c r="AR39" i="35" s="1"/>
  <c r="AT39" i="35" s="1"/>
  <c r="AO39" i="35"/>
  <c r="AP39" i="35" s="1"/>
  <c r="AS39" i="35" s="1"/>
  <c r="AM39" i="35"/>
  <c r="AY39" i="35" s="1"/>
  <c r="AL39" i="35"/>
  <c r="AX39" i="35" s="1"/>
  <c r="AK39" i="35"/>
  <c r="AW39" i="35" s="1"/>
  <c r="B39" i="35"/>
  <c r="A39" i="35"/>
  <c r="AQ38" i="35"/>
  <c r="AR38" i="35" s="1"/>
  <c r="AT38" i="35" s="1"/>
  <c r="AO38" i="35"/>
  <c r="AP38" i="35" s="1"/>
  <c r="AS38" i="35" s="1"/>
  <c r="AM38" i="35"/>
  <c r="AL38" i="35"/>
  <c r="AX38" i="35" s="1"/>
  <c r="AK38" i="35"/>
  <c r="B38" i="35"/>
  <c r="A38" i="35"/>
  <c r="AQ37" i="35"/>
  <c r="AR37" i="35" s="1"/>
  <c r="AT37" i="35" s="1"/>
  <c r="AO37" i="35"/>
  <c r="AP37" i="35" s="1"/>
  <c r="AS37" i="35" s="1"/>
  <c r="AM37" i="35"/>
  <c r="AL37" i="35"/>
  <c r="AK37" i="35"/>
  <c r="B37" i="35"/>
  <c r="A37" i="35"/>
  <c r="AQ36" i="35"/>
  <c r="AR36" i="35" s="1"/>
  <c r="AT36" i="35" s="1"/>
  <c r="AO36" i="35"/>
  <c r="AP36" i="35" s="1"/>
  <c r="AS36" i="35" s="1"/>
  <c r="AM36" i="35"/>
  <c r="AY36" i="35" s="1"/>
  <c r="AL36" i="35"/>
  <c r="AX36" i="35" s="1"/>
  <c r="AK36" i="35"/>
  <c r="B36" i="35"/>
  <c r="A36" i="35"/>
  <c r="AQ35" i="35"/>
  <c r="AR35" i="35" s="1"/>
  <c r="AT35" i="35" s="1"/>
  <c r="AO35" i="35"/>
  <c r="AP35" i="35" s="1"/>
  <c r="AS35" i="35" s="1"/>
  <c r="AM35" i="35"/>
  <c r="AL35" i="35"/>
  <c r="AK35" i="35"/>
  <c r="B35" i="35"/>
  <c r="A35" i="35"/>
  <c r="AQ34" i="35"/>
  <c r="AR34" i="35" s="1"/>
  <c r="AT34" i="35" s="1"/>
  <c r="AO34" i="35"/>
  <c r="AP34" i="35" s="1"/>
  <c r="AS34" i="35" s="1"/>
  <c r="AM34" i="35"/>
  <c r="AL34" i="35"/>
  <c r="AK34" i="35"/>
  <c r="AW34" i="35" s="1"/>
  <c r="B34" i="35"/>
  <c r="A34" i="35"/>
  <c r="AQ33" i="35"/>
  <c r="AR33" i="35" s="1"/>
  <c r="AT33" i="35" s="1"/>
  <c r="AO33" i="35"/>
  <c r="AP33" i="35" s="1"/>
  <c r="AS33" i="35" s="1"/>
  <c r="AM33" i="35"/>
  <c r="AY33" i="35" s="1"/>
  <c r="AL33" i="35"/>
  <c r="AX33" i="35" s="1"/>
  <c r="AK33" i="35"/>
  <c r="AW33" i="35" s="1"/>
  <c r="B33" i="35"/>
  <c r="A33" i="35"/>
  <c r="AQ32" i="35"/>
  <c r="AR32" i="35" s="1"/>
  <c r="AT32" i="35" s="1"/>
  <c r="AO32" i="35"/>
  <c r="AP32" i="35" s="1"/>
  <c r="AS32" i="35" s="1"/>
  <c r="AM32" i="35"/>
  <c r="AL32" i="35"/>
  <c r="AK32" i="35"/>
  <c r="B32" i="35"/>
  <c r="A32" i="35"/>
  <c r="AQ31" i="35"/>
  <c r="AR31" i="35" s="1"/>
  <c r="AT31" i="35" s="1"/>
  <c r="AO31" i="35"/>
  <c r="AP31" i="35" s="1"/>
  <c r="AS31" i="35" s="1"/>
  <c r="AM31" i="35"/>
  <c r="AL31" i="35"/>
  <c r="AX31" i="35" s="1"/>
  <c r="AK31" i="35"/>
  <c r="AW31" i="35" s="1"/>
  <c r="B31" i="35"/>
  <c r="A31" i="35"/>
  <c r="AQ30" i="35"/>
  <c r="AR30" i="35" s="1"/>
  <c r="AT30" i="35" s="1"/>
  <c r="AO30" i="35"/>
  <c r="AP30" i="35" s="1"/>
  <c r="AS30" i="35" s="1"/>
  <c r="AM30" i="35"/>
  <c r="AY30" i="35" s="1"/>
  <c r="AL30" i="35"/>
  <c r="AX30" i="35" s="1"/>
  <c r="AK30" i="35"/>
  <c r="B30" i="35"/>
  <c r="A30" i="35"/>
  <c r="AQ29" i="35"/>
  <c r="AR29" i="35" s="1"/>
  <c r="AT29" i="35" s="1"/>
  <c r="AO29" i="35"/>
  <c r="AP29" i="35" s="1"/>
  <c r="AS29" i="35" s="1"/>
  <c r="AM29" i="35"/>
  <c r="AL29" i="35"/>
  <c r="AK29" i="35"/>
  <c r="B29" i="35"/>
  <c r="A29" i="35"/>
  <c r="AQ28" i="35"/>
  <c r="AR28" i="35" s="1"/>
  <c r="AT28" i="35" s="1"/>
  <c r="AO28" i="35"/>
  <c r="AP28" i="35" s="1"/>
  <c r="AS28" i="35" s="1"/>
  <c r="AM28" i="35"/>
  <c r="AL28" i="35"/>
  <c r="AK28" i="35"/>
  <c r="B28" i="35"/>
  <c r="A28" i="35"/>
  <c r="AQ27" i="35"/>
  <c r="AR27" i="35" s="1"/>
  <c r="AT27" i="35" s="1"/>
  <c r="AO27" i="35"/>
  <c r="AP27" i="35" s="1"/>
  <c r="AS27" i="35" s="1"/>
  <c r="AM27" i="35"/>
  <c r="AL27" i="35"/>
  <c r="AX27" i="35" s="1"/>
  <c r="AK27" i="35"/>
  <c r="AW27" i="35" s="1"/>
  <c r="B27" i="35"/>
  <c r="A27" i="35"/>
  <c r="AQ26" i="35"/>
  <c r="AR26" i="35" s="1"/>
  <c r="AT26" i="35" s="1"/>
  <c r="AO26" i="35"/>
  <c r="AP26" i="35" s="1"/>
  <c r="AS26" i="35" s="1"/>
  <c r="AM26" i="35"/>
  <c r="AL26" i="35"/>
  <c r="AK26" i="35"/>
  <c r="B26" i="35"/>
  <c r="A26" i="35"/>
  <c r="AQ25" i="35"/>
  <c r="AR25" i="35" s="1"/>
  <c r="AT25" i="35" s="1"/>
  <c r="AO25" i="35"/>
  <c r="AP25" i="35" s="1"/>
  <c r="AS25" i="35" s="1"/>
  <c r="AM25" i="35"/>
  <c r="AL25" i="35"/>
  <c r="AX25" i="35" s="1"/>
  <c r="AK25" i="35"/>
  <c r="AW25" i="35" s="1"/>
  <c r="B25" i="35"/>
  <c r="A25" i="35"/>
  <c r="AQ24" i="35"/>
  <c r="AR24" i="35" s="1"/>
  <c r="AT24" i="35" s="1"/>
  <c r="AO24" i="35"/>
  <c r="AP24" i="35" s="1"/>
  <c r="AS24" i="35" s="1"/>
  <c r="AM24" i="35"/>
  <c r="AY24" i="35" s="1"/>
  <c r="AL24" i="35"/>
  <c r="AK24" i="35"/>
  <c r="AW24" i="35" s="1"/>
  <c r="B24" i="35"/>
  <c r="A24" i="35"/>
  <c r="AQ23" i="35"/>
  <c r="AR23" i="35" s="1"/>
  <c r="AT23" i="35" s="1"/>
  <c r="AO23" i="35"/>
  <c r="AP23" i="35" s="1"/>
  <c r="AS23" i="35" s="1"/>
  <c r="AM23" i="35"/>
  <c r="AL23" i="35"/>
  <c r="AK23" i="35"/>
  <c r="B23" i="35"/>
  <c r="A23" i="35"/>
  <c r="AQ22" i="35"/>
  <c r="AR22" i="35" s="1"/>
  <c r="AT22" i="35" s="1"/>
  <c r="AO22" i="35"/>
  <c r="AP22" i="35" s="1"/>
  <c r="AS22" i="35" s="1"/>
  <c r="AM22" i="35"/>
  <c r="AL22" i="35"/>
  <c r="AX22" i="35" s="1"/>
  <c r="AK22" i="35"/>
  <c r="B22" i="35"/>
  <c r="A22" i="35"/>
  <c r="AQ21" i="35"/>
  <c r="AR21" i="35" s="1"/>
  <c r="AT21" i="35" s="1"/>
  <c r="AO21" i="35"/>
  <c r="AP21" i="35" s="1"/>
  <c r="AS21" i="35" s="1"/>
  <c r="AM21" i="35"/>
  <c r="AL21" i="35"/>
  <c r="AX21" i="35" s="1"/>
  <c r="AK21" i="35"/>
  <c r="B21" i="35"/>
  <c r="A21" i="35"/>
  <c r="AQ20" i="35"/>
  <c r="AR20" i="35" s="1"/>
  <c r="AT20" i="35" s="1"/>
  <c r="AO20" i="35"/>
  <c r="AP20" i="35" s="1"/>
  <c r="AS20" i="35" s="1"/>
  <c r="AM20" i="35"/>
  <c r="AL20" i="35"/>
  <c r="AX20" i="35" s="1"/>
  <c r="AK20" i="35"/>
  <c r="B20" i="35"/>
  <c r="A20" i="35"/>
  <c r="AQ19" i="35"/>
  <c r="AR19" i="35" s="1"/>
  <c r="AT19" i="35" s="1"/>
  <c r="AO19" i="35"/>
  <c r="AP19" i="35" s="1"/>
  <c r="AS19" i="35" s="1"/>
  <c r="AM19" i="35"/>
  <c r="AL19" i="35"/>
  <c r="AK19" i="35"/>
  <c r="B19" i="35"/>
  <c r="A19" i="35"/>
  <c r="AQ18" i="35"/>
  <c r="AR18" i="35" s="1"/>
  <c r="AT18" i="35" s="1"/>
  <c r="AO18" i="35"/>
  <c r="AP18" i="35" s="1"/>
  <c r="AS18" i="35" s="1"/>
  <c r="AM18" i="35"/>
  <c r="AY18" i="35" s="1"/>
  <c r="AL18" i="35"/>
  <c r="AK18" i="35"/>
  <c r="B18" i="35"/>
  <c r="A18" i="35"/>
  <c r="AQ17" i="35"/>
  <c r="AR17" i="35" s="1"/>
  <c r="AT17" i="35" s="1"/>
  <c r="AO17" i="35"/>
  <c r="AP17" i="35" s="1"/>
  <c r="AS17" i="35" s="1"/>
  <c r="AM17" i="35"/>
  <c r="AY17" i="35" s="1"/>
  <c r="AL17" i="35"/>
  <c r="AX17" i="35" s="1"/>
  <c r="AK17" i="35"/>
  <c r="B17" i="35"/>
  <c r="A17" i="35"/>
  <c r="AQ16" i="35"/>
  <c r="AR16" i="35" s="1"/>
  <c r="AT16" i="35" s="1"/>
  <c r="AO16" i="35"/>
  <c r="AP16" i="35" s="1"/>
  <c r="AS16" i="35" s="1"/>
  <c r="AM16" i="35"/>
  <c r="AL16" i="35"/>
  <c r="AK16" i="35"/>
  <c r="B16" i="35"/>
  <c r="A16" i="35"/>
  <c r="AQ15" i="35"/>
  <c r="AR15" i="35" s="1"/>
  <c r="AT15" i="35" s="1"/>
  <c r="AO15" i="35"/>
  <c r="AP15" i="35" s="1"/>
  <c r="AS15" i="35" s="1"/>
  <c r="AM15" i="35"/>
  <c r="AY15" i="35" s="1"/>
  <c r="AL15" i="35"/>
  <c r="AX15" i="35" s="1"/>
  <c r="AK15" i="35"/>
  <c r="AW15" i="35" s="1"/>
  <c r="B15" i="35"/>
  <c r="A15" i="35"/>
  <c r="AQ14" i="35"/>
  <c r="AR14" i="35" s="1"/>
  <c r="AT14" i="35" s="1"/>
  <c r="AO14" i="35"/>
  <c r="AP14" i="35" s="1"/>
  <c r="AS14" i="35" s="1"/>
  <c r="AM14" i="35"/>
  <c r="AL14" i="35"/>
  <c r="AK14" i="35"/>
  <c r="B14" i="35"/>
  <c r="A14" i="35"/>
  <c r="AQ13" i="35"/>
  <c r="AR13" i="35" s="1"/>
  <c r="AT13" i="35" s="1"/>
  <c r="AO13" i="35"/>
  <c r="AP13" i="35" s="1"/>
  <c r="AS13" i="35" s="1"/>
  <c r="AM13" i="35"/>
  <c r="AL13" i="35"/>
  <c r="AX13" i="35" s="1"/>
  <c r="AK13" i="35"/>
  <c r="B13" i="35"/>
  <c r="A13" i="35"/>
  <c r="AQ12" i="35"/>
  <c r="AR12" i="35" s="1"/>
  <c r="AT12" i="35" s="1"/>
  <c r="AO12" i="35"/>
  <c r="AP12" i="35" s="1"/>
  <c r="AS12" i="35" s="1"/>
  <c r="AM12" i="35"/>
  <c r="AY12" i="35" s="1"/>
  <c r="AL12" i="35"/>
  <c r="AX12" i="35" s="1"/>
  <c r="AK12" i="35"/>
  <c r="B12" i="35"/>
  <c r="A12" i="35"/>
  <c r="AQ11" i="35"/>
  <c r="AR11" i="35" s="1"/>
  <c r="AT11" i="35" s="1"/>
  <c r="AO11" i="35"/>
  <c r="AP11" i="35" s="1"/>
  <c r="AS11" i="35" s="1"/>
  <c r="AM11" i="35"/>
  <c r="AL11" i="35"/>
  <c r="AK11" i="35"/>
  <c r="B11" i="35"/>
  <c r="A11" i="35"/>
  <c r="AQ10" i="35"/>
  <c r="AR10" i="35" s="1"/>
  <c r="AT10" i="35" s="1"/>
  <c r="AO10" i="35"/>
  <c r="AP10" i="35" s="1"/>
  <c r="AS10" i="35" s="1"/>
  <c r="AM10" i="35"/>
  <c r="AL10" i="35"/>
  <c r="AK10" i="35"/>
  <c r="B10" i="35"/>
  <c r="A10" i="35"/>
  <c r="AQ9" i="35"/>
  <c r="AR9" i="35" s="1"/>
  <c r="AT9" i="35" s="1"/>
  <c r="AO9" i="35"/>
  <c r="AP9" i="35" s="1"/>
  <c r="AS9" i="35" s="1"/>
  <c r="AM9" i="35"/>
  <c r="AY9" i="35" s="1"/>
  <c r="AL9" i="35"/>
  <c r="AX9" i="35" s="1"/>
  <c r="AK9" i="35"/>
  <c r="B9" i="35"/>
  <c r="A9" i="35"/>
  <c r="AY8" i="35"/>
  <c r="AX8" i="35"/>
  <c r="AW8" i="35"/>
  <c r="AM7" i="35"/>
  <c r="AL7" i="35"/>
  <c r="AI7" i="35"/>
  <c r="W7" i="35"/>
  <c r="C7" i="35"/>
  <c r="AK7" i="35" s="1"/>
  <c r="BB5" i="35"/>
  <c r="BA5" i="35"/>
  <c r="AZ5" i="35"/>
  <c r="BB4" i="35"/>
  <c r="BA4" i="35"/>
  <c r="AZ4" i="35"/>
  <c r="AQ68" i="32"/>
  <c r="AR68" i="32" s="1"/>
  <c r="AT68" i="32" s="1"/>
  <c r="AO68" i="32"/>
  <c r="AP68" i="32" s="1"/>
  <c r="AS68" i="32" s="1"/>
  <c r="AM68" i="32"/>
  <c r="AY68" i="32" s="1"/>
  <c r="AL68" i="32"/>
  <c r="AK68" i="32"/>
  <c r="B68" i="32"/>
  <c r="A68" i="32"/>
  <c r="AQ67" i="32"/>
  <c r="AR67" i="32" s="1"/>
  <c r="AT67" i="32" s="1"/>
  <c r="AO67" i="32"/>
  <c r="AP67" i="32" s="1"/>
  <c r="AS67" i="32" s="1"/>
  <c r="AM67" i="32"/>
  <c r="AY67" i="32" s="1"/>
  <c r="AL67" i="32"/>
  <c r="AX67" i="32" s="1"/>
  <c r="AK67" i="32"/>
  <c r="B67" i="32"/>
  <c r="A67" i="32"/>
  <c r="AQ66" i="32"/>
  <c r="AR66" i="32" s="1"/>
  <c r="AT66" i="32" s="1"/>
  <c r="AO66" i="32"/>
  <c r="AP66" i="32" s="1"/>
  <c r="AS66" i="32" s="1"/>
  <c r="AM66" i="32"/>
  <c r="AL66" i="32"/>
  <c r="AX66" i="32" s="1"/>
  <c r="AK66" i="32"/>
  <c r="AW66" i="32" s="1"/>
  <c r="B66" i="32"/>
  <c r="A66" i="32"/>
  <c r="AQ65" i="32"/>
  <c r="AR65" i="32" s="1"/>
  <c r="AT65" i="32" s="1"/>
  <c r="AO65" i="32"/>
  <c r="AP65" i="32" s="1"/>
  <c r="AS65" i="32" s="1"/>
  <c r="AM65" i="32"/>
  <c r="AL65" i="32"/>
  <c r="AK65" i="32"/>
  <c r="B65" i="32"/>
  <c r="A65" i="32"/>
  <c r="AQ64" i="32"/>
  <c r="AR64" i="32" s="1"/>
  <c r="AT64" i="32" s="1"/>
  <c r="AO64" i="32"/>
  <c r="AP64" i="32" s="1"/>
  <c r="AS64" i="32" s="1"/>
  <c r="AM64" i="32"/>
  <c r="AY64" i="32" s="1"/>
  <c r="AL64" i="32"/>
  <c r="AX64" i="32" s="1"/>
  <c r="AK64" i="32"/>
  <c r="AW64" i="32" s="1"/>
  <c r="B64" i="32"/>
  <c r="A64" i="32"/>
  <c r="AQ63" i="32"/>
  <c r="AR63" i="32" s="1"/>
  <c r="AT63" i="32" s="1"/>
  <c r="AO63" i="32"/>
  <c r="AP63" i="32" s="1"/>
  <c r="AS63" i="32" s="1"/>
  <c r="AM63" i="32"/>
  <c r="AL63" i="32"/>
  <c r="AX63" i="32" s="1"/>
  <c r="AK63" i="32"/>
  <c r="AW63" i="32" s="1"/>
  <c r="B63" i="32"/>
  <c r="A63" i="32"/>
  <c r="AQ62" i="32"/>
  <c r="AR62" i="32" s="1"/>
  <c r="AT62" i="32" s="1"/>
  <c r="AO62" i="32"/>
  <c r="AP62" i="32" s="1"/>
  <c r="AS62" i="32" s="1"/>
  <c r="AM62" i="32"/>
  <c r="AL62" i="32"/>
  <c r="AK62" i="32"/>
  <c r="AW62" i="32" s="1"/>
  <c r="B62" i="32"/>
  <c r="A62" i="32"/>
  <c r="AQ61" i="32"/>
  <c r="AR61" i="32" s="1"/>
  <c r="AT61" i="32" s="1"/>
  <c r="AO61" i="32"/>
  <c r="AP61" i="32" s="1"/>
  <c r="AS61" i="32" s="1"/>
  <c r="AM61" i="32"/>
  <c r="AL61" i="32"/>
  <c r="AX61" i="32" s="1"/>
  <c r="AK61" i="32"/>
  <c r="B61" i="32"/>
  <c r="A61" i="32"/>
  <c r="AQ60" i="32"/>
  <c r="AR60" i="32" s="1"/>
  <c r="AT60" i="32" s="1"/>
  <c r="AO60" i="32"/>
  <c r="AP60" i="32" s="1"/>
  <c r="AS60" i="32" s="1"/>
  <c r="AM60" i="32"/>
  <c r="AY60" i="32" s="1"/>
  <c r="AL60" i="32"/>
  <c r="AX60" i="32" s="1"/>
  <c r="AK60" i="32"/>
  <c r="AW60" i="32" s="1"/>
  <c r="B60" i="32"/>
  <c r="A60" i="32"/>
  <c r="AQ59" i="32"/>
  <c r="AR59" i="32" s="1"/>
  <c r="AT59" i="32" s="1"/>
  <c r="AO59" i="32"/>
  <c r="AP59" i="32" s="1"/>
  <c r="AS59" i="32" s="1"/>
  <c r="AM59" i="32"/>
  <c r="AY59" i="32" s="1"/>
  <c r="AL59" i="32"/>
  <c r="AK59" i="32"/>
  <c r="B59" i="32"/>
  <c r="A59" i="32"/>
  <c r="AQ58" i="32"/>
  <c r="AR58" i="32" s="1"/>
  <c r="AT58" i="32" s="1"/>
  <c r="AO58" i="32"/>
  <c r="AP58" i="32" s="1"/>
  <c r="AS58" i="32" s="1"/>
  <c r="AM58" i="32"/>
  <c r="AY58" i="32" s="1"/>
  <c r="AL58" i="32"/>
  <c r="AX58" i="32" s="1"/>
  <c r="AK58" i="32"/>
  <c r="B58" i="32"/>
  <c r="A58" i="32"/>
  <c r="AQ57" i="32"/>
  <c r="AR57" i="32" s="1"/>
  <c r="AT57" i="32" s="1"/>
  <c r="AO57" i="32"/>
  <c r="AP57" i="32" s="1"/>
  <c r="AS57" i="32" s="1"/>
  <c r="AM57" i="32"/>
  <c r="AY57" i="32" s="1"/>
  <c r="AL57" i="32"/>
  <c r="AX57" i="32" s="1"/>
  <c r="AK57" i="32"/>
  <c r="AW57" i="32" s="1"/>
  <c r="B57" i="32"/>
  <c r="A57" i="32"/>
  <c r="AQ56" i="32"/>
  <c r="AR56" i="32" s="1"/>
  <c r="AT56" i="32" s="1"/>
  <c r="AO56" i="32"/>
  <c r="AP56" i="32" s="1"/>
  <c r="AS56" i="32" s="1"/>
  <c r="AM56" i="32"/>
  <c r="AL56" i="32"/>
  <c r="AK56" i="32"/>
  <c r="B56" i="32"/>
  <c r="A56" i="32"/>
  <c r="AQ55" i="32"/>
  <c r="AR55" i="32" s="1"/>
  <c r="AT55" i="32" s="1"/>
  <c r="AO55" i="32"/>
  <c r="AP55" i="32" s="1"/>
  <c r="AS55" i="32" s="1"/>
  <c r="AM55" i="32"/>
  <c r="AY55" i="32" s="1"/>
  <c r="AL55" i="32"/>
  <c r="AX55" i="32" s="1"/>
  <c r="AK55" i="32"/>
  <c r="B55" i="32"/>
  <c r="A55" i="32"/>
  <c r="AQ54" i="32"/>
  <c r="AR54" i="32" s="1"/>
  <c r="AT54" i="32" s="1"/>
  <c r="AO54" i="32"/>
  <c r="AP54" i="32" s="1"/>
  <c r="AS54" i="32" s="1"/>
  <c r="AM54" i="32"/>
  <c r="AY54" i="32" s="1"/>
  <c r="AL54" i="32"/>
  <c r="AX54" i="32" s="1"/>
  <c r="AK54" i="32"/>
  <c r="AW54" i="32" s="1"/>
  <c r="B54" i="32"/>
  <c r="A54" i="32"/>
  <c r="AQ53" i="32"/>
  <c r="AR53" i="32" s="1"/>
  <c r="AT53" i="32" s="1"/>
  <c r="AO53" i="32"/>
  <c r="AP53" i="32" s="1"/>
  <c r="AS53" i="32" s="1"/>
  <c r="AM53" i="32"/>
  <c r="AL53" i="32"/>
  <c r="AK53" i="32"/>
  <c r="AW53" i="32" s="1"/>
  <c r="B53" i="32"/>
  <c r="A53" i="32"/>
  <c r="AQ52" i="32"/>
  <c r="AR52" i="32" s="1"/>
  <c r="AT52" i="32" s="1"/>
  <c r="AO52" i="32"/>
  <c r="AP52" i="32" s="1"/>
  <c r="AS52" i="32" s="1"/>
  <c r="AM52" i="32"/>
  <c r="AL52" i="32"/>
  <c r="AX52" i="32" s="1"/>
  <c r="AK52" i="32"/>
  <c r="B52" i="32"/>
  <c r="A52" i="32"/>
  <c r="AQ51" i="32"/>
  <c r="AR51" i="32" s="1"/>
  <c r="AT51" i="32" s="1"/>
  <c r="AO51" i="32"/>
  <c r="AP51" i="32" s="1"/>
  <c r="AS51" i="32" s="1"/>
  <c r="AM51" i="32"/>
  <c r="AY51" i="32" s="1"/>
  <c r="AL51" i="32"/>
  <c r="AX51" i="32" s="1"/>
  <c r="AK51" i="32"/>
  <c r="AW51" i="32" s="1"/>
  <c r="B51" i="32"/>
  <c r="A51" i="32"/>
  <c r="AQ50" i="32"/>
  <c r="AR50" i="32" s="1"/>
  <c r="AT50" i="32" s="1"/>
  <c r="AO50" i="32"/>
  <c r="AP50" i="32" s="1"/>
  <c r="AS50" i="32" s="1"/>
  <c r="AM50" i="32"/>
  <c r="AY50" i="32" s="1"/>
  <c r="AL50" i="32"/>
  <c r="AK50" i="32"/>
  <c r="B50" i="32"/>
  <c r="A50" i="32"/>
  <c r="AQ49" i="32"/>
  <c r="AR49" i="32" s="1"/>
  <c r="AT49" i="32" s="1"/>
  <c r="AO49" i="32"/>
  <c r="AP49" i="32" s="1"/>
  <c r="AS49" i="32" s="1"/>
  <c r="AM49" i="32"/>
  <c r="AY49" i="32" s="1"/>
  <c r="AL49" i="32"/>
  <c r="AX49" i="32" s="1"/>
  <c r="AK49" i="32"/>
  <c r="B49" i="32"/>
  <c r="A49" i="32"/>
  <c r="AQ48" i="32"/>
  <c r="AR48" i="32" s="1"/>
  <c r="AT48" i="32" s="1"/>
  <c r="AO48" i="32"/>
  <c r="AP48" i="32" s="1"/>
  <c r="AS48" i="32" s="1"/>
  <c r="AM48" i="32"/>
  <c r="AY48" i="32" s="1"/>
  <c r="AL48" i="32"/>
  <c r="AX48" i="32" s="1"/>
  <c r="AK48" i="32"/>
  <c r="AW48" i="32" s="1"/>
  <c r="B48" i="32"/>
  <c r="A48" i="32"/>
  <c r="AQ47" i="32"/>
  <c r="AR47" i="32" s="1"/>
  <c r="AT47" i="32" s="1"/>
  <c r="AO47" i="32"/>
  <c r="AP47" i="32" s="1"/>
  <c r="AS47" i="32" s="1"/>
  <c r="AM47" i="32"/>
  <c r="AL47" i="32"/>
  <c r="AK47" i="32"/>
  <c r="B47" i="32"/>
  <c r="A47" i="32"/>
  <c r="AQ46" i="32"/>
  <c r="AR46" i="32" s="1"/>
  <c r="AT46" i="32" s="1"/>
  <c r="AO46" i="32"/>
  <c r="AP46" i="32" s="1"/>
  <c r="AS46" i="32" s="1"/>
  <c r="AM46" i="32"/>
  <c r="AY46" i="32" s="1"/>
  <c r="AL46" i="32"/>
  <c r="AX46" i="32" s="1"/>
  <c r="AK46" i="32"/>
  <c r="AW46" i="32" s="1"/>
  <c r="B46" i="32"/>
  <c r="A46" i="32"/>
  <c r="AQ45" i="32"/>
  <c r="AR45" i="32" s="1"/>
  <c r="AT45" i="32" s="1"/>
  <c r="AO45" i="32"/>
  <c r="AP45" i="32" s="1"/>
  <c r="AS45" i="32" s="1"/>
  <c r="AM45" i="32"/>
  <c r="AY45" i="32" s="1"/>
  <c r="AL45" i="32"/>
  <c r="AK45" i="32"/>
  <c r="AW45" i="32" s="1"/>
  <c r="B45" i="32"/>
  <c r="A45" i="32"/>
  <c r="AQ44" i="32"/>
  <c r="AR44" i="32" s="1"/>
  <c r="AT44" i="32" s="1"/>
  <c r="AO44" i="32"/>
  <c r="AP44" i="32" s="1"/>
  <c r="AS44" i="32" s="1"/>
  <c r="AM44" i="32"/>
  <c r="AL44" i="32"/>
  <c r="AK44" i="32"/>
  <c r="B44" i="32"/>
  <c r="A44" i="32"/>
  <c r="AQ43" i="32"/>
  <c r="AR43" i="32" s="1"/>
  <c r="AT43" i="32" s="1"/>
  <c r="AO43" i="32"/>
  <c r="AP43" i="32" s="1"/>
  <c r="AS43" i="32" s="1"/>
  <c r="AM43" i="32"/>
  <c r="AY43" i="32" s="1"/>
  <c r="AL43" i="32"/>
  <c r="AX43" i="32" s="1"/>
  <c r="AK43" i="32"/>
  <c r="B43" i="32"/>
  <c r="A43" i="32"/>
  <c r="AQ42" i="32"/>
  <c r="AR42" i="32" s="1"/>
  <c r="AT42" i="32" s="1"/>
  <c r="AO42" i="32"/>
  <c r="AP42" i="32" s="1"/>
  <c r="AS42" i="32" s="1"/>
  <c r="AM42" i="32"/>
  <c r="AY42" i="32" s="1"/>
  <c r="AL42" i="32"/>
  <c r="AX42" i="32" s="1"/>
  <c r="AK42" i="32"/>
  <c r="B42" i="32"/>
  <c r="A42" i="32"/>
  <c r="AQ41" i="32"/>
  <c r="AR41" i="32" s="1"/>
  <c r="AT41" i="32" s="1"/>
  <c r="AO41" i="32"/>
  <c r="AP41" i="32" s="1"/>
  <c r="AS41" i="32" s="1"/>
  <c r="AM41" i="32"/>
  <c r="AY41" i="32" s="1"/>
  <c r="AL41" i="32"/>
  <c r="AK41" i="32"/>
  <c r="B41" i="32"/>
  <c r="A41" i="32"/>
  <c r="AQ40" i="32"/>
  <c r="AR40" i="32" s="1"/>
  <c r="AT40" i="32" s="1"/>
  <c r="AO40" i="32"/>
  <c r="AP40" i="32" s="1"/>
  <c r="AS40" i="32" s="1"/>
  <c r="AM40" i="32"/>
  <c r="AY40" i="32" s="1"/>
  <c r="AL40" i="32"/>
  <c r="AX40" i="32" s="1"/>
  <c r="AK40" i="32"/>
  <c r="B40" i="32"/>
  <c r="A40" i="32"/>
  <c r="AQ39" i="32"/>
  <c r="AR39" i="32" s="1"/>
  <c r="AT39" i="32" s="1"/>
  <c r="AO39" i="32"/>
  <c r="AP39" i="32" s="1"/>
  <c r="AS39" i="32" s="1"/>
  <c r="AM39" i="32"/>
  <c r="AY39" i="32" s="1"/>
  <c r="AL39" i="32"/>
  <c r="AX39" i="32" s="1"/>
  <c r="AK39" i="32"/>
  <c r="AW39" i="32" s="1"/>
  <c r="B39" i="32"/>
  <c r="A39" i="32"/>
  <c r="AQ38" i="32"/>
  <c r="AR38" i="32" s="1"/>
  <c r="AT38" i="32" s="1"/>
  <c r="AO38" i="32"/>
  <c r="AP38" i="32" s="1"/>
  <c r="AS38" i="32" s="1"/>
  <c r="AM38" i="32"/>
  <c r="AL38" i="32"/>
  <c r="AK38" i="32"/>
  <c r="B38" i="32"/>
  <c r="A38" i="32"/>
  <c r="AQ37" i="32"/>
  <c r="AR37" i="32" s="1"/>
  <c r="AT37" i="32" s="1"/>
  <c r="AO37" i="32"/>
  <c r="AP37" i="32" s="1"/>
  <c r="AS37" i="32" s="1"/>
  <c r="AM37" i="32"/>
  <c r="AY37" i="32" s="1"/>
  <c r="AL37" i="32"/>
  <c r="AX37" i="32" s="1"/>
  <c r="AK37" i="32"/>
  <c r="B37" i="32"/>
  <c r="A37" i="32"/>
  <c r="AQ36" i="32"/>
  <c r="AR36" i="32" s="1"/>
  <c r="AT36" i="32" s="1"/>
  <c r="AO36" i="32"/>
  <c r="AP36" i="32" s="1"/>
  <c r="AS36" i="32" s="1"/>
  <c r="AM36" i="32"/>
  <c r="AL36" i="32"/>
  <c r="AK36" i="32"/>
  <c r="AW36" i="32" s="1"/>
  <c r="B36" i="32"/>
  <c r="A36" i="32"/>
  <c r="AQ35" i="32"/>
  <c r="AR35" i="32" s="1"/>
  <c r="AT35" i="32" s="1"/>
  <c r="AO35" i="32"/>
  <c r="AP35" i="32" s="1"/>
  <c r="AS35" i="32" s="1"/>
  <c r="AM35" i="32"/>
  <c r="AL35" i="32"/>
  <c r="AK35" i="32"/>
  <c r="B35" i="32"/>
  <c r="A35" i="32"/>
  <c r="AQ34" i="32"/>
  <c r="AR34" i="32" s="1"/>
  <c r="AT34" i="32" s="1"/>
  <c r="AO34" i="32"/>
  <c r="AP34" i="32" s="1"/>
  <c r="AS34" i="32" s="1"/>
  <c r="AM34" i="32"/>
  <c r="AY34" i="32" s="1"/>
  <c r="AL34" i="32"/>
  <c r="AX34" i="32" s="1"/>
  <c r="AK34" i="32"/>
  <c r="AW34" i="32" s="1"/>
  <c r="B34" i="32"/>
  <c r="A34" i="32"/>
  <c r="AQ33" i="32"/>
  <c r="AR33" i="32" s="1"/>
  <c r="AT33" i="32" s="1"/>
  <c r="AO33" i="32"/>
  <c r="AP33" i="32" s="1"/>
  <c r="AS33" i="32" s="1"/>
  <c r="AM33" i="32"/>
  <c r="AY33" i="32" s="1"/>
  <c r="AL33" i="32"/>
  <c r="AK33" i="32"/>
  <c r="B33" i="32"/>
  <c r="A33" i="32"/>
  <c r="AQ32" i="32"/>
  <c r="AR32" i="32" s="1"/>
  <c r="AT32" i="32" s="1"/>
  <c r="AO32" i="32"/>
  <c r="AP32" i="32" s="1"/>
  <c r="AS32" i="32" s="1"/>
  <c r="AM32" i="32"/>
  <c r="AY32" i="32" s="1"/>
  <c r="AL32" i="32"/>
  <c r="AK32" i="32"/>
  <c r="B32" i="32"/>
  <c r="A32" i="32"/>
  <c r="AQ31" i="32"/>
  <c r="AR31" i="32" s="1"/>
  <c r="AT31" i="32" s="1"/>
  <c r="AO31" i="32"/>
  <c r="AP31" i="32" s="1"/>
  <c r="AS31" i="32" s="1"/>
  <c r="AM31" i="32"/>
  <c r="AY31" i="32" s="1"/>
  <c r="AL31" i="32"/>
  <c r="AX31" i="32" s="1"/>
  <c r="AK31" i="32"/>
  <c r="B31" i="32"/>
  <c r="A31" i="32"/>
  <c r="AQ30" i="32"/>
  <c r="AR30" i="32" s="1"/>
  <c r="AT30" i="32" s="1"/>
  <c r="AO30" i="32"/>
  <c r="AP30" i="32" s="1"/>
  <c r="AS30" i="32" s="1"/>
  <c r="AM30" i="32"/>
  <c r="AY30" i="32" s="1"/>
  <c r="AL30" i="32"/>
  <c r="AX30" i="32" s="1"/>
  <c r="AK30" i="32"/>
  <c r="B30" i="32"/>
  <c r="A30" i="32"/>
  <c r="AQ29" i="32"/>
  <c r="AR29" i="32" s="1"/>
  <c r="AT29" i="32" s="1"/>
  <c r="AO29" i="32"/>
  <c r="AP29" i="32" s="1"/>
  <c r="AS29" i="32" s="1"/>
  <c r="AM29" i="32"/>
  <c r="AL29" i="32"/>
  <c r="AK29" i="32"/>
  <c r="B29" i="32"/>
  <c r="A29" i="32"/>
  <c r="AQ28" i="32"/>
  <c r="AR28" i="32" s="1"/>
  <c r="AT28" i="32" s="1"/>
  <c r="AO28" i="32"/>
  <c r="AP28" i="32" s="1"/>
  <c r="AS28" i="32" s="1"/>
  <c r="AM28" i="32"/>
  <c r="AY28" i="32" s="1"/>
  <c r="AL28" i="32"/>
  <c r="AK28" i="32"/>
  <c r="B28" i="32"/>
  <c r="A28" i="32"/>
  <c r="AQ27" i="32"/>
  <c r="AR27" i="32" s="1"/>
  <c r="AT27" i="32" s="1"/>
  <c r="AO27" i="32"/>
  <c r="AP27" i="32" s="1"/>
  <c r="AS27" i="32" s="1"/>
  <c r="AM27" i="32"/>
  <c r="AL27" i="32"/>
  <c r="AK27" i="32"/>
  <c r="B27" i="32"/>
  <c r="A27" i="32"/>
  <c r="AQ26" i="32"/>
  <c r="AR26" i="32" s="1"/>
  <c r="AT26" i="32" s="1"/>
  <c r="AO26" i="32"/>
  <c r="AP26" i="32" s="1"/>
  <c r="AS26" i="32" s="1"/>
  <c r="AM26" i="32"/>
  <c r="AL26" i="32"/>
  <c r="AK26" i="32"/>
  <c r="AW26" i="32" s="1"/>
  <c r="B26" i="32"/>
  <c r="A26" i="32"/>
  <c r="AQ25" i="32"/>
  <c r="AR25" i="32" s="1"/>
  <c r="AT25" i="32" s="1"/>
  <c r="AO25" i="32"/>
  <c r="AP25" i="32" s="1"/>
  <c r="AS25" i="32" s="1"/>
  <c r="AM25" i="32"/>
  <c r="AY25" i="32" s="1"/>
  <c r="AL25" i="32"/>
  <c r="AX25" i="32" s="1"/>
  <c r="AK25" i="32"/>
  <c r="AW25" i="32" s="1"/>
  <c r="B25" i="32"/>
  <c r="A25" i="32"/>
  <c r="AQ24" i="32"/>
  <c r="AR24" i="32" s="1"/>
  <c r="AT24" i="32" s="1"/>
  <c r="AO24" i="32"/>
  <c r="AP24" i="32" s="1"/>
  <c r="AS24" i="32" s="1"/>
  <c r="AM24" i="32"/>
  <c r="AL24" i="32"/>
  <c r="AK24" i="32"/>
  <c r="B24" i="32"/>
  <c r="A24" i="32"/>
  <c r="AQ23" i="32"/>
  <c r="AR23" i="32" s="1"/>
  <c r="AT23" i="32" s="1"/>
  <c r="AO23" i="32"/>
  <c r="AP23" i="32" s="1"/>
  <c r="AS23" i="32" s="1"/>
  <c r="AM23" i="32"/>
  <c r="AY23" i="32" s="1"/>
  <c r="AL23" i="32"/>
  <c r="AK23" i="32"/>
  <c r="B23" i="32"/>
  <c r="A23" i="32"/>
  <c r="AQ22" i="32"/>
  <c r="AR22" i="32" s="1"/>
  <c r="AT22" i="32" s="1"/>
  <c r="AO22" i="32"/>
  <c r="AP22" i="32" s="1"/>
  <c r="AS22" i="32" s="1"/>
  <c r="AM22" i="32"/>
  <c r="AL22" i="32"/>
  <c r="AX22" i="32" s="1"/>
  <c r="AK22" i="32"/>
  <c r="AW22" i="32" s="1"/>
  <c r="B22" i="32"/>
  <c r="A22" i="32"/>
  <c r="AQ21" i="32"/>
  <c r="AR21" i="32" s="1"/>
  <c r="AT21" i="32" s="1"/>
  <c r="AO21" i="32"/>
  <c r="AP21" i="32" s="1"/>
  <c r="AS21" i="32" s="1"/>
  <c r="AM21" i="32"/>
  <c r="AY21" i="32" s="1"/>
  <c r="AL21" i="32"/>
  <c r="AX21" i="32" s="1"/>
  <c r="AK21" i="32"/>
  <c r="B21" i="32"/>
  <c r="A21" i="32"/>
  <c r="AQ20" i="32"/>
  <c r="AR20" i="32" s="1"/>
  <c r="AT20" i="32" s="1"/>
  <c r="AO20" i="32"/>
  <c r="AP20" i="32" s="1"/>
  <c r="AS20" i="32" s="1"/>
  <c r="AM20" i="32"/>
  <c r="AY20" i="32" s="1"/>
  <c r="AL20" i="32"/>
  <c r="AX20" i="32" s="1"/>
  <c r="AK20" i="32"/>
  <c r="AW20" i="32" s="1"/>
  <c r="B20" i="32"/>
  <c r="A20" i="32"/>
  <c r="AQ19" i="32"/>
  <c r="AR19" i="32" s="1"/>
  <c r="AT19" i="32" s="1"/>
  <c r="AO19" i="32"/>
  <c r="AP19" i="32" s="1"/>
  <c r="AS19" i="32" s="1"/>
  <c r="AM19" i="32"/>
  <c r="AY19" i="32" s="1"/>
  <c r="AL19" i="32"/>
  <c r="AX19" i="32" s="1"/>
  <c r="AK19" i="32"/>
  <c r="AW19" i="32" s="1"/>
  <c r="B19" i="32"/>
  <c r="A19" i="32"/>
  <c r="AQ18" i="32"/>
  <c r="AR18" i="32" s="1"/>
  <c r="AT18" i="32" s="1"/>
  <c r="AO18" i="32"/>
  <c r="AP18" i="32" s="1"/>
  <c r="AS18" i="32" s="1"/>
  <c r="AM18" i="32"/>
  <c r="AY18" i="32" s="1"/>
  <c r="AL18" i="32"/>
  <c r="AX18" i="32" s="1"/>
  <c r="AK18" i="32"/>
  <c r="B18" i="32"/>
  <c r="A18" i="32"/>
  <c r="AQ17" i="32"/>
  <c r="AR17" i="32" s="1"/>
  <c r="AT17" i="32" s="1"/>
  <c r="AO17" i="32"/>
  <c r="AP17" i="32" s="1"/>
  <c r="AS17" i="32" s="1"/>
  <c r="AM17" i="32"/>
  <c r="AL17" i="32"/>
  <c r="AK17" i="32"/>
  <c r="B17" i="32"/>
  <c r="A17" i="32"/>
  <c r="AQ16" i="32"/>
  <c r="AR16" i="32" s="1"/>
  <c r="AT16" i="32" s="1"/>
  <c r="AO16" i="32"/>
  <c r="AP16" i="32" s="1"/>
  <c r="AS16" i="32" s="1"/>
  <c r="AM16" i="32"/>
  <c r="AL16" i="32"/>
  <c r="AK16" i="32"/>
  <c r="AW16" i="32" s="1"/>
  <c r="B16" i="32"/>
  <c r="A16" i="32"/>
  <c r="AQ15" i="32"/>
  <c r="AR15" i="32" s="1"/>
  <c r="AT15" i="32" s="1"/>
  <c r="AO15" i="32"/>
  <c r="AP15" i="32" s="1"/>
  <c r="AS15" i="32" s="1"/>
  <c r="AM15" i="32"/>
  <c r="AY15" i="32" s="1"/>
  <c r="AL15" i="32"/>
  <c r="AX15" i="32" s="1"/>
  <c r="AK15" i="32"/>
  <c r="B15" i="32"/>
  <c r="A15" i="32"/>
  <c r="AQ14" i="32"/>
  <c r="AR14" i="32" s="1"/>
  <c r="AT14" i="32" s="1"/>
  <c r="AO14" i="32"/>
  <c r="AP14" i="32" s="1"/>
  <c r="AS14" i="32" s="1"/>
  <c r="AM14" i="32"/>
  <c r="AY14" i="32" s="1"/>
  <c r="AL14" i="32"/>
  <c r="AK14" i="32"/>
  <c r="B14" i="32"/>
  <c r="A14" i="32"/>
  <c r="AQ13" i="32"/>
  <c r="AR13" i="32" s="1"/>
  <c r="AT13" i="32" s="1"/>
  <c r="AO13" i="32"/>
  <c r="AP13" i="32" s="1"/>
  <c r="AS13" i="32" s="1"/>
  <c r="AM13" i="32"/>
  <c r="AY13" i="32" s="1"/>
  <c r="AL13" i="32"/>
  <c r="AX13" i="32" s="1"/>
  <c r="AK13" i="32"/>
  <c r="B13" i="32"/>
  <c r="A13" i="32"/>
  <c r="AQ12" i="32"/>
  <c r="AR12" i="32" s="1"/>
  <c r="AT12" i="32" s="1"/>
  <c r="AO12" i="32"/>
  <c r="AP12" i="32" s="1"/>
  <c r="AS12" i="32" s="1"/>
  <c r="AM12" i="32"/>
  <c r="AY12" i="32" s="1"/>
  <c r="AL12" i="32"/>
  <c r="AX12" i="32" s="1"/>
  <c r="AK12" i="32"/>
  <c r="AW12" i="32" s="1"/>
  <c r="B12" i="32"/>
  <c r="A12" i="32"/>
  <c r="AQ11" i="32"/>
  <c r="AR11" i="32" s="1"/>
  <c r="AT11" i="32" s="1"/>
  <c r="AO11" i="32"/>
  <c r="AP11" i="32" s="1"/>
  <c r="AS11" i="32" s="1"/>
  <c r="AM11" i="32"/>
  <c r="AL11" i="32"/>
  <c r="AX11" i="32" s="1"/>
  <c r="AK11" i="32"/>
  <c r="B11" i="32"/>
  <c r="A11" i="32"/>
  <c r="AQ10" i="32"/>
  <c r="AO10" i="32"/>
  <c r="AP10" i="32" s="1"/>
  <c r="AS10" i="32" s="1"/>
  <c r="AM10" i="32"/>
  <c r="AY10" i="32" s="1"/>
  <c r="AL10" i="32"/>
  <c r="AX10" i="32" s="1"/>
  <c r="AK10" i="32"/>
  <c r="AW10" i="32" s="1"/>
  <c r="B10" i="32"/>
  <c r="A10" i="32"/>
  <c r="AQ9" i="32"/>
  <c r="AO9" i="32"/>
  <c r="AP9" i="32" s="1"/>
  <c r="AS9" i="32" s="1"/>
  <c r="AM9" i="32"/>
  <c r="AY9" i="32" s="1"/>
  <c r="AL9" i="32"/>
  <c r="AX9" i="32" s="1"/>
  <c r="AK9" i="32"/>
  <c r="AW9" i="32" s="1"/>
  <c r="A9" i="32"/>
  <c r="AY8" i="32"/>
  <c r="AX8" i="32"/>
  <c r="AW8" i="32"/>
  <c r="AM7" i="32"/>
  <c r="AI7" i="32"/>
  <c r="W7" i="32"/>
  <c r="AL7" i="32" s="1"/>
  <c r="C7" i="32"/>
  <c r="AK7" i="32" s="1"/>
  <c r="BB5" i="32"/>
  <c r="BA5" i="32"/>
  <c r="AZ5" i="32"/>
  <c r="BB4" i="32"/>
  <c r="BA4" i="32"/>
  <c r="AZ4" i="32"/>
  <c r="AK11" i="8"/>
  <c r="AL11" i="8"/>
  <c r="AM11" i="8"/>
  <c r="AK12" i="8"/>
  <c r="AL12" i="8"/>
  <c r="AM12" i="8"/>
  <c r="AK13" i="8"/>
  <c r="AL13" i="8"/>
  <c r="AM13" i="8"/>
  <c r="AK14" i="8"/>
  <c r="AL14" i="8"/>
  <c r="AM14" i="8"/>
  <c r="AK15" i="8"/>
  <c r="AL15" i="8"/>
  <c r="AM15" i="8"/>
  <c r="AK16" i="8"/>
  <c r="AL16" i="8"/>
  <c r="AM16" i="8"/>
  <c r="AK17" i="8"/>
  <c r="AL17" i="8"/>
  <c r="AM17" i="8"/>
  <c r="AK18" i="8"/>
  <c r="AL18" i="8"/>
  <c r="AM18" i="8"/>
  <c r="AK19" i="8"/>
  <c r="AL19" i="8"/>
  <c r="AM19" i="8"/>
  <c r="AK20" i="8"/>
  <c r="AL20" i="8"/>
  <c r="AM20" i="8"/>
  <c r="AK21" i="8"/>
  <c r="AL21" i="8"/>
  <c r="AM21" i="8"/>
  <c r="AK22" i="8"/>
  <c r="AL22" i="8"/>
  <c r="AM22" i="8"/>
  <c r="AK23" i="8"/>
  <c r="AL23" i="8"/>
  <c r="AM23" i="8"/>
  <c r="AK24" i="8"/>
  <c r="AL24" i="8"/>
  <c r="AM24" i="8"/>
  <c r="AK25" i="8"/>
  <c r="AL25" i="8"/>
  <c r="AM25" i="8"/>
  <c r="AK26" i="8"/>
  <c r="AL26" i="8"/>
  <c r="AM26" i="8"/>
  <c r="AK27" i="8"/>
  <c r="AL27" i="8"/>
  <c r="AM27" i="8"/>
  <c r="AK28" i="8"/>
  <c r="AL28" i="8"/>
  <c r="AM28" i="8"/>
  <c r="AK29" i="8"/>
  <c r="AL29" i="8"/>
  <c r="AM29" i="8"/>
  <c r="AK30" i="8"/>
  <c r="AL30" i="8"/>
  <c r="AM30" i="8"/>
  <c r="AK31" i="8"/>
  <c r="AL31" i="8"/>
  <c r="AM31" i="8"/>
  <c r="AK32" i="8"/>
  <c r="AL32" i="8"/>
  <c r="AM32" i="8"/>
  <c r="AK33" i="8"/>
  <c r="AL33" i="8"/>
  <c r="AM33" i="8"/>
  <c r="AK34" i="8"/>
  <c r="AL34" i="8"/>
  <c r="AM34" i="8"/>
  <c r="AK35" i="8"/>
  <c r="AL35" i="8"/>
  <c r="AM35" i="8"/>
  <c r="AK36" i="8"/>
  <c r="AL36" i="8"/>
  <c r="AM36" i="8"/>
  <c r="AK37" i="8"/>
  <c r="AL37" i="8"/>
  <c r="AM37" i="8"/>
  <c r="AK38" i="8"/>
  <c r="AL38" i="8"/>
  <c r="AM38" i="8"/>
  <c r="AK39" i="8"/>
  <c r="AL39" i="8"/>
  <c r="AM39" i="8"/>
  <c r="AK40" i="8"/>
  <c r="AL40" i="8"/>
  <c r="AM40" i="8"/>
  <c r="AK41" i="8"/>
  <c r="AL41" i="8"/>
  <c r="AM41" i="8"/>
  <c r="AK42" i="8"/>
  <c r="AL42" i="8"/>
  <c r="AM42" i="8"/>
  <c r="AK43" i="8"/>
  <c r="AL43" i="8"/>
  <c r="AM43" i="8"/>
  <c r="AK44" i="8"/>
  <c r="AL44" i="8"/>
  <c r="AM44" i="8"/>
  <c r="AK45" i="8"/>
  <c r="AL45" i="8"/>
  <c r="AM45" i="8"/>
  <c r="AK46" i="8"/>
  <c r="AL46" i="8"/>
  <c r="AM46" i="8"/>
  <c r="AK47" i="8"/>
  <c r="AL47" i="8"/>
  <c r="AM47" i="8"/>
  <c r="AK48" i="8"/>
  <c r="AL48" i="8"/>
  <c r="AM48" i="8"/>
  <c r="AK49" i="8"/>
  <c r="AL49" i="8"/>
  <c r="AM49" i="8"/>
  <c r="AK50" i="8"/>
  <c r="AL50" i="8"/>
  <c r="AM50" i="8"/>
  <c r="AK51" i="8"/>
  <c r="AL51" i="8"/>
  <c r="AM51" i="8"/>
  <c r="AK52" i="8"/>
  <c r="AL52" i="8"/>
  <c r="AM52" i="8"/>
  <c r="AK53" i="8"/>
  <c r="AL53" i="8"/>
  <c r="AM53" i="8"/>
  <c r="AK54" i="8"/>
  <c r="AL54" i="8"/>
  <c r="AM54" i="8"/>
  <c r="AK55" i="8"/>
  <c r="AL55" i="8"/>
  <c r="AM55" i="8"/>
  <c r="AK56" i="8"/>
  <c r="AL56" i="8"/>
  <c r="AM56" i="8"/>
  <c r="AK57" i="8"/>
  <c r="AL57" i="8"/>
  <c r="AM57" i="8"/>
  <c r="AK58" i="8"/>
  <c r="AL58" i="8"/>
  <c r="AM58" i="8"/>
  <c r="AK59" i="8"/>
  <c r="AL59" i="8"/>
  <c r="AM59" i="8"/>
  <c r="AK60" i="8"/>
  <c r="AL60" i="8"/>
  <c r="AM60" i="8"/>
  <c r="AK61" i="8"/>
  <c r="AL61" i="8"/>
  <c r="AM61" i="8"/>
  <c r="AK62" i="8"/>
  <c r="AL62" i="8"/>
  <c r="AM62" i="8"/>
  <c r="AK63" i="8"/>
  <c r="AL63" i="8"/>
  <c r="AM63" i="8"/>
  <c r="AK64" i="8"/>
  <c r="AL64" i="8"/>
  <c r="AM64" i="8"/>
  <c r="AK65" i="8"/>
  <c r="AL65" i="8"/>
  <c r="AM65" i="8"/>
  <c r="AK66" i="8"/>
  <c r="AL66" i="8"/>
  <c r="AM66" i="8"/>
  <c r="AK67" i="8"/>
  <c r="AL67" i="8"/>
  <c r="AM67" i="8"/>
  <c r="AK68" i="8"/>
  <c r="AL68" i="8"/>
  <c r="AM68" i="8"/>
  <c r="AK10" i="8"/>
  <c r="AL10" i="8"/>
  <c r="AM10" i="8"/>
  <c r="AO22" i="8"/>
  <c r="AP22" i="8" s="1"/>
  <c r="AS22" i="8" s="1"/>
  <c r="AQ22" i="8"/>
  <c r="AR22" i="8" s="1"/>
  <c r="AT22" i="8" s="1"/>
  <c r="AO23" i="8"/>
  <c r="AP23" i="8" s="1"/>
  <c r="AS23" i="8" s="1"/>
  <c r="AQ23" i="8"/>
  <c r="AR23" i="8" s="1"/>
  <c r="AT23" i="8" s="1"/>
  <c r="AO24" i="8"/>
  <c r="AP24" i="8" s="1"/>
  <c r="AS24" i="8" s="1"/>
  <c r="AQ24" i="8"/>
  <c r="AR24" i="8" s="1"/>
  <c r="AT24" i="8" s="1"/>
  <c r="AO25" i="8"/>
  <c r="AP25" i="8" s="1"/>
  <c r="AS25" i="8" s="1"/>
  <c r="AQ25" i="8"/>
  <c r="AR25" i="8" s="1"/>
  <c r="AT25" i="8" s="1"/>
  <c r="AO26" i="8"/>
  <c r="AP26" i="8" s="1"/>
  <c r="AS26" i="8" s="1"/>
  <c r="AQ26" i="8"/>
  <c r="AR26" i="8" s="1"/>
  <c r="AT26" i="8" s="1"/>
  <c r="AO27" i="8"/>
  <c r="AP27" i="8" s="1"/>
  <c r="AS27" i="8" s="1"/>
  <c r="AQ27" i="8"/>
  <c r="AR27" i="8" s="1"/>
  <c r="AT27" i="8" s="1"/>
  <c r="AO28" i="8"/>
  <c r="AP28" i="8" s="1"/>
  <c r="AS28" i="8" s="1"/>
  <c r="AQ28" i="8"/>
  <c r="AR28" i="8" s="1"/>
  <c r="AT28" i="8" s="1"/>
  <c r="AO29" i="8"/>
  <c r="AP29" i="8" s="1"/>
  <c r="AS29" i="8" s="1"/>
  <c r="AQ29" i="8"/>
  <c r="AR29" i="8" s="1"/>
  <c r="AT29" i="8" s="1"/>
  <c r="AO30" i="8"/>
  <c r="AP30" i="8" s="1"/>
  <c r="AS30" i="8" s="1"/>
  <c r="AQ30" i="8"/>
  <c r="AR30" i="8" s="1"/>
  <c r="AT30" i="8" s="1"/>
  <c r="AO31" i="8"/>
  <c r="AP31" i="8" s="1"/>
  <c r="AS31" i="8" s="1"/>
  <c r="AQ31" i="8"/>
  <c r="AR31" i="8" s="1"/>
  <c r="AT31" i="8" s="1"/>
  <c r="AO32" i="8"/>
  <c r="AP32" i="8" s="1"/>
  <c r="AS32" i="8" s="1"/>
  <c r="AQ32" i="8"/>
  <c r="AR32" i="8" s="1"/>
  <c r="AT32" i="8" s="1"/>
  <c r="AO33" i="8"/>
  <c r="AP33" i="8" s="1"/>
  <c r="AS33" i="8" s="1"/>
  <c r="AQ33" i="8"/>
  <c r="AR33" i="8" s="1"/>
  <c r="AT33" i="8" s="1"/>
  <c r="AO34" i="8"/>
  <c r="AP34" i="8" s="1"/>
  <c r="AS34" i="8" s="1"/>
  <c r="AQ34" i="8"/>
  <c r="AR34" i="8" s="1"/>
  <c r="AT34" i="8" s="1"/>
  <c r="AO35" i="8"/>
  <c r="AP35" i="8" s="1"/>
  <c r="AS35" i="8" s="1"/>
  <c r="AQ35" i="8"/>
  <c r="AR35" i="8" s="1"/>
  <c r="AT35" i="8" s="1"/>
  <c r="AO36" i="8"/>
  <c r="AP36" i="8" s="1"/>
  <c r="AS36" i="8" s="1"/>
  <c r="AQ36" i="8"/>
  <c r="AR36" i="8" s="1"/>
  <c r="AT36" i="8" s="1"/>
  <c r="AO37" i="8"/>
  <c r="AP37" i="8" s="1"/>
  <c r="AS37" i="8" s="1"/>
  <c r="AQ37" i="8"/>
  <c r="AR37" i="8" s="1"/>
  <c r="AT37" i="8" s="1"/>
  <c r="AO38" i="8"/>
  <c r="AP38" i="8" s="1"/>
  <c r="AS38" i="8" s="1"/>
  <c r="AQ38" i="8"/>
  <c r="AR38" i="8" s="1"/>
  <c r="AT38" i="8" s="1"/>
  <c r="AO39" i="8"/>
  <c r="AP39" i="8" s="1"/>
  <c r="AS39" i="8" s="1"/>
  <c r="AQ39" i="8"/>
  <c r="AR39" i="8" s="1"/>
  <c r="AT39" i="8" s="1"/>
  <c r="AO40" i="8"/>
  <c r="AP40" i="8" s="1"/>
  <c r="AS40" i="8" s="1"/>
  <c r="AQ40" i="8"/>
  <c r="AR40" i="8" s="1"/>
  <c r="AT40" i="8" s="1"/>
  <c r="AO41" i="8"/>
  <c r="AP41" i="8" s="1"/>
  <c r="AS41" i="8" s="1"/>
  <c r="AQ41" i="8"/>
  <c r="AR41" i="8" s="1"/>
  <c r="AT41" i="8" s="1"/>
  <c r="AO42" i="8"/>
  <c r="AP42" i="8" s="1"/>
  <c r="AS42" i="8" s="1"/>
  <c r="AQ42" i="8"/>
  <c r="AR42" i="8" s="1"/>
  <c r="AT42" i="8" s="1"/>
  <c r="AO43" i="8"/>
  <c r="AP43" i="8" s="1"/>
  <c r="AS43" i="8" s="1"/>
  <c r="AQ43" i="8"/>
  <c r="AR43" i="8" s="1"/>
  <c r="AT43" i="8" s="1"/>
  <c r="AO44" i="8"/>
  <c r="AP44" i="8" s="1"/>
  <c r="AS44" i="8" s="1"/>
  <c r="AQ44" i="8"/>
  <c r="AR44" i="8" s="1"/>
  <c r="AT44" i="8" s="1"/>
  <c r="AO45" i="8"/>
  <c r="AP45" i="8" s="1"/>
  <c r="AS45" i="8" s="1"/>
  <c r="AQ45" i="8"/>
  <c r="AR45" i="8" s="1"/>
  <c r="AT45" i="8" s="1"/>
  <c r="AO46" i="8"/>
  <c r="AP46" i="8" s="1"/>
  <c r="AS46" i="8" s="1"/>
  <c r="AQ46" i="8"/>
  <c r="AR46" i="8" s="1"/>
  <c r="AT46" i="8" s="1"/>
  <c r="AO47" i="8"/>
  <c r="AP47" i="8" s="1"/>
  <c r="AS47" i="8" s="1"/>
  <c r="AQ47" i="8"/>
  <c r="AR47" i="8" s="1"/>
  <c r="AT47" i="8" s="1"/>
  <c r="AO48" i="8"/>
  <c r="AP48" i="8" s="1"/>
  <c r="AS48" i="8" s="1"/>
  <c r="AQ48" i="8"/>
  <c r="AR48" i="8" s="1"/>
  <c r="AT48" i="8" s="1"/>
  <c r="AO49" i="8"/>
  <c r="AP49" i="8" s="1"/>
  <c r="AS49" i="8" s="1"/>
  <c r="AQ49" i="8"/>
  <c r="AR49" i="8" s="1"/>
  <c r="AT49" i="8" s="1"/>
  <c r="AO50" i="8"/>
  <c r="AP50" i="8" s="1"/>
  <c r="AS50" i="8" s="1"/>
  <c r="AQ50" i="8"/>
  <c r="AR50" i="8" s="1"/>
  <c r="AT50" i="8" s="1"/>
  <c r="AO51" i="8"/>
  <c r="AP51" i="8" s="1"/>
  <c r="AS51" i="8" s="1"/>
  <c r="AQ51" i="8"/>
  <c r="AR51" i="8" s="1"/>
  <c r="AT51" i="8" s="1"/>
  <c r="AO52" i="8"/>
  <c r="AP52" i="8" s="1"/>
  <c r="AS52" i="8" s="1"/>
  <c r="AQ52" i="8"/>
  <c r="AR52" i="8" s="1"/>
  <c r="AT52" i="8" s="1"/>
  <c r="AO53" i="8"/>
  <c r="AP53" i="8" s="1"/>
  <c r="AS53" i="8" s="1"/>
  <c r="AQ53" i="8"/>
  <c r="AR53" i="8" s="1"/>
  <c r="AT53" i="8" s="1"/>
  <c r="AO54" i="8"/>
  <c r="AP54" i="8" s="1"/>
  <c r="AS54" i="8" s="1"/>
  <c r="AQ54" i="8"/>
  <c r="AR54" i="8" s="1"/>
  <c r="AT54" i="8" s="1"/>
  <c r="AO55" i="8"/>
  <c r="AP55" i="8" s="1"/>
  <c r="AS55" i="8" s="1"/>
  <c r="AQ55" i="8"/>
  <c r="AR55" i="8" s="1"/>
  <c r="AT55" i="8" s="1"/>
  <c r="AO56" i="8"/>
  <c r="AP56" i="8" s="1"/>
  <c r="AS56" i="8" s="1"/>
  <c r="AQ56" i="8"/>
  <c r="AR56" i="8" s="1"/>
  <c r="AT56" i="8" s="1"/>
  <c r="AO57" i="8"/>
  <c r="AP57" i="8" s="1"/>
  <c r="AS57" i="8" s="1"/>
  <c r="AQ57" i="8"/>
  <c r="AR57" i="8" s="1"/>
  <c r="AT57" i="8" s="1"/>
  <c r="AO58" i="8"/>
  <c r="AP58" i="8" s="1"/>
  <c r="AS58" i="8" s="1"/>
  <c r="AQ58" i="8"/>
  <c r="AR58" i="8" s="1"/>
  <c r="AT58" i="8" s="1"/>
  <c r="AO59" i="8"/>
  <c r="AP59" i="8" s="1"/>
  <c r="AS59" i="8" s="1"/>
  <c r="AQ59" i="8"/>
  <c r="AR59" i="8" s="1"/>
  <c r="AT59" i="8" s="1"/>
  <c r="AO60" i="8"/>
  <c r="AP60" i="8" s="1"/>
  <c r="AS60" i="8" s="1"/>
  <c r="AQ60" i="8"/>
  <c r="AR60" i="8" s="1"/>
  <c r="AT60" i="8" s="1"/>
  <c r="AO61" i="8"/>
  <c r="AP61" i="8" s="1"/>
  <c r="AS61" i="8" s="1"/>
  <c r="AQ61" i="8"/>
  <c r="AR61" i="8" s="1"/>
  <c r="AT61" i="8" s="1"/>
  <c r="AO62" i="8"/>
  <c r="AP62" i="8" s="1"/>
  <c r="AS62" i="8" s="1"/>
  <c r="AQ62" i="8"/>
  <c r="AR62" i="8" s="1"/>
  <c r="AT62" i="8" s="1"/>
  <c r="AO63" i="8"/>
  <c r="AP63" i="8" s="1"/>
  <c r="AS63" i="8" s="1"/>
  <c r="AQ63" i="8"/>
  <c r="AR63" i="8" s="1"/>
  <c r="AT63" i="8" s="1"/>
  <c r="AO64" i="8"/>
  <c r="AP64" i="8" s="1"/>
  <c r="AS64" i="8" s="1"/>
  <c r="AQ64" i="8"/>
  <c r="AR64" i="8" s="1"/>
  <c r="AT64" i="8" s="1"/>
  <c r="AO65" i="8"/>
  <c r="AP65" i="8" s="1"/>
  <c r="AS65" i="8" s="1"/>
  <c r="AQ65" i="8"/>
  <c r="AR65" i="8" s="1"/>
  <c r="AT65" i="8" s="1"/>
  <c r="AO66" i="8"/>
  <c r="AP66" i="8" s="1"/>
  <c r="AS66" i="8" s="1"/>
  <c r="AQ66" i="8"/>
  <c r="AR66" i="8" s="1"/>
  <c r="AT66" i="8" s="1"/>
  <c r="AO67" i="8"/>
  <c r="AP67" i="8" s="1"/>
  <c r="AS67" i="8" s="1"/>
  <c r="AQ67" i="8"/>
  <c r="AR67" i="8" s="1"/>
  <c r="AT67" i="8" s="1"/>
  <c r="AO68" i="8"/>
  <c r="AP68" i="8" s="1"/>
  <c r="AS68" i="8" s="1"/>
  <c r="AQ68" i="8"/>
  <c r="AR68" i="8" s="1"/>
  <c r="AT68" i="8" s="1"/>
  <c r="AO11" i="8"/>
  <c r="AP11" i="8" s="1"/>
  <c r="AS11" i="8" s="1"/>
  <c r="AQ11" i="8"/>
  <c r="AR11" i="8" s="1"/>
  <c r="AT11" i="8" s="1"/>
  <c r="AO12" i="8"/>
  <c r="AP12" i="8" s="1"/>
  <c r="AS12" i="8" s="1"/>
  <c r="AQ12" i="8"/>
  <c r="AR12" i="8" s="1"/>
  <c r="AT12" i="8" s="1"/>
  <c r="AO13" i="8"/>
  <c r="AP13" i="8" s="1"/>
  <c r="AS13" i="8" s="1"/>
  <c r="AQ13" i="8"/>
  <c r="AR13" i="8" s="1"/>
  <c r="AT13" i="8" s="1"/>
  <c r="AO14" i="8"/>
  <c r="AP14" i="8" s="1"/>
  <c r="AS14" i="8" s="1"/>
  <c r="AQ14" i="8"/>
  <c r="AR14" i="8" s="1"/>
  <c r="AT14" i="8" s="1"/>
  <c r="AO15" i="8"/>
  <c r="AP15" i="8" s="1"/>
  <c r="AS15" i="8" s="1"/>
  <c r="AQ15" i="8"/>
  <c r="AR15" i="8" s="1"/>
  <c r="AT15" i="8" s="1"/>
  <c r="AO16" i="8"/>
  <c r="AP16" i="8" s="1"/>
  <c r="AS16" i="8" s="1"/>
  <c r="AQ16" i="8"/>
  <c r="AR16" i="8" s="1"/>
  <c r="AT16" i="8" s="1"/>
  <c r="AO17" i="8"/>
  <c r="AP17" i="8" s="1"/>
  <c r="AS17" i="8" s="1"/>
  <c r="AQ17" i="8"/>
  <c r="AR17" i="8" s="1"/>
  <c r="AT17" i="8" s="1"/>
  <c r="AO18" i="8"/>
  <c r="AP18" i="8" s="1"/>
  <c r="AS18" i="8" s="1"/>
  <c r="AQ18" i="8"/>
  <c r="AR18" i="8" s="1"/>
  <c r="AT18" i="8" s="1"/>
  <c r="AO19" i="8"/>
  <c r="AP19" i="8" s="1"/>
  <c r="AS19" i="8" s="1"/>
  <c r="AQ19" i="8"/>
  <c r="AR19" i="8" s="1"/>
  <c r="AT19" i="8" s="1"/>
  <c r="AO20" i="8"/>
  <c r="AP20" i="8" s="1"/>
  <c r="AS20" i="8" s="1"/>
  <c r="AQ20" i="8"/>
  <c r="AR20" i="8" s="1"/>
  <c r="AT20" i="8" s="1"/>
  <c r="AO21" i="8"/>
  <c r="AP21" i="8" s="1"/>
  <c r="AS21" i="8" s="1"/>
  <c r="AQ21" i="8"/>
  <c r="AR21" i="8" s="1"/>
  <c r="AT21" i="8" s="1"/>
  <c r="AO10" i="8"/>
  <c r="AQ10" i="8"/>
  <c r="AK9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10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10" i="8"/>
  <c r="B9" i="8"/>
  <c r="A9" i="8"/>
  <c r="AQ9" i="8"/>
  <c r="Q31" i="31"/>
  <c r="Q29" i="31"/>
  <c r="Q30" i="31"/>
  <c r="Q32" i="31"/>
  <c r="Q17" i="31" l="1"/>
  <c r="Q18" i="31"/>
  <c r="Q11" i="31"/>
  <c r="Q20" i="31"/>
  <c r="Q19" i="31"/>
  <c r="Q36" i="31"/>
  <c r="Q38" i="31"/>
  <c r="Q39" i="31"/>
  <c r="Q15" i="31"/>
  <c r="Q16" i="31"/>
  <c r="Q33" i="31"/>
  <c r="Q34" i="31"/>
  <c r="Q42" i="31"/>
  <c r="Q46" i="31"/>
  <c r="AW68" i="40"/>
  <c r="AY57" i="37"/>
  <c r="BA58" i="45"/>
  <c r="BA45" i="45"/>
  <c r="BA57" i="45"/>
  <c r="BA33" i="43"/>
  <c r="BA9" i="39"/>
  <c r="BA24" i="38"/>
  <c r="BA67" i="38"/>
  <c r="BA57" i="35"/>
  <c r="AP10" i="48"/>
  <c r="AS10" i="48" s="1"/>
  <c r="AP10" i="47"/>
  <c r="AS10" i="47" s="1"/>
  <c r="BA10" i="47"/>
  <c r="BA55" i="46"/>
  <c r="BA68" i="46"/>
  <c r="AN68" i="46" s="1"/>
  <c r="P68" i="27" s="1"/>
  <c r="BA10" i="46"/>
  <c r="BA12" i="45"/>
  <c r="AN12" i="45" s="1"/>
  <c r="O12" i="27" s="1"/>
  <c r="BA64" i="44"/>
  <c r="BA68" i="38"/>
  <c r="BA41" i="36"/>
  <c r="AX30" i="36"/>
  <c r="BA52" i="45"/>
  <c r="BA18" i="45"/>
  <c r="BA38" i="45"/>
  <c r="BA10" i="45"/>
  <c r="BA24" i="44"/>
  <c r="AX28" i="41"/>
  <c r="BA26" i="39"/>
  <c r="BA21" i="39"/>
  <c r="BA62" i="39"/>
  <c r="BA54" i="39"/>
  <c r="BA63" i="38"/>
  <c r="BA15" i="37"/>
  <c r="BA26" i="35"/>
  <c r="BA32" i="35"/>
  <c r="AX54" i="35"/>
  <c r="BA18" i="48"/>
  <c r="BA64" i="47"/>
  <c r="BA55" i="47"/>
  <c r="BA12" i="47"/>
  <c r="AN12" i="47" s="1"/>
  <c r="Q12" i="27" s="1"/>
  <c r="BA28" i="47"/>
  <c r="AN28" i="47" s="1"/>
  <c r="Q28" i="27" s="1"/>
  <c r="BA49" i="47"/>
  <c r="BA15" i="47"/>
  <c r="BA56" i="47"/>
  <c r="BA67" i="47"/>
  <c r="BA13" i="47"/>
  <c r="AN13" i="47" s="1"/>
  <c r="Q13" i="27" s="1"/>
  <c r="BA34" i="47"/>
  <c r="AN34" i="47" s="1"/>
  <c r="Q34" i="27" s="1"/>
  <c r="BA22" i="47"/>
  <c r="BA48" i="47"/>
  <c r="AX64" i="46"/>
  <c r="BA22" i="45"/>
  <c r="BA53" i="45"/>
  <c r="BA21" i="45"/>
  <c r="BA50" i="45"/>
  <c r="BA17" i="45"/>
  <c r="AW18" i="45"/>
  <c r="BA11" i="45"/>
  <c r="BA27" i="45"/>
  <c r="BA29" i="45"/>
  <c r="BA30" i="44"/>
  <c r="BA33" i="44"/>
  <c r="BA24" i="43"/>
  <c r="BA21" i="43"/>
  <c r="BA45" i="42"/>
  <c r="AW49" i="42"/>
  <c r="AY22" i="41"/>
  <c r="BA12" i="40"/>
  <c r="AN12" i="40" s="1"/>
  <c r="BA33" i="40"/>
  <c r="BA52" i="40"/>
  <c r="BA45" i="39"/>
  <c r="BA57" i="39"/>
  <c r="BA12" i="39"/>
  <c r="BA44" i="39"/>
  <c r="AW64" i="39"/>
  <c r="AW12" i="39"/>
  <c r="BA68" i="39"/>
  <c r="AY67" i="39"/>
  <c r="BA14" i="39"/>
  <c r="BA27" i="39"/>
  <c r="AN27" i="39" s="1"/>
  <c r="BA63" i="39"/>
  <c r="BA21" i="38"/>
  <c r="BA44" i="38"/>
  <c r="BA36" i="38"/>
  <c r="BA41" i="38"/>
  <c r="BA53" i="38"/>
  <c r="BA12" i="38"/>
  <c r="BA50" i="38"/>
  <c r="BA27" i="38"/>
  <c r="BA27" i="36"/>
  <c r="BA56" i="35"/>
  <c r="AW48" i="35"/>
  <c r="BA24" i="35"/>
  <c r="BA21" i="48"/>
  <c r="AX40" i="48"/>
  <c r="BA19" i="48"/>
  <c r="AN19" i="48" s="1"/>
  <c r="R19" i="27" s="1"/>
  <c r="BA27" i="47"/>
  <c r="AN27" i="47" s="1"/>
  <c r="Q27" i="27" s="1"/>
  <c r="BA40" i="47"/>
  <c r="AN40" i="47" s="1"/>
  <c r="Q40" i="27" s="1"/>
  <c r="BA33" i="47"/>
  <c r="AN33" i="47" s="1"/>
  <c r="Q33" i="27" s="1"/>
  <c r="BA39" i="47"/>
  <c r="AN39" i="47" s="1"/>
  <c r="Q39" i="27" s="1"/>
  <c r="BA45" i="47"/>
  <c r="AN45" i="47" s="1"/>
  <c r="Q45" i="27" s="1"/>
  <c r="BA63" i="47"/>
  <c r="AN63" i="47" s="1"/>
  <c r="Q63" i="27" s="1"/>
  <c r="BA46" i="47"/>
  <c r="BA25" i="47"/>
  <c r="AN25" i="47" s="1"/>
  <c r="Q25" i="27" s="1"/>
  <c r="BA31" i="47"/>
  <c r="AN31" i="47" s="1"/>
  <c r="Q31" i="27" s="1"/>
  <c r="BA37" i="47"/>
  <c r="AN37" i="47" s="1"/>
  <c r="Q37" i="27" s="1"/>
  <c r="BA43" i="47"/>
  <c r="AN43" i="47" s="1"/>
  <c r="Q43" i="27" s="1"/>
  <c r="AW67" i="47"/>
  <c r="BA9" i="47"/>
  <c r="AW15" i="47"/>
  <c r="BA24" i="47"/>
  <c r="AN24" i="47" s="1"/>
  <c r="Q24" i="27" s="1"/>
  <c r="BA30" i="47"/>
  <c r="AN30" i="47" s="1"/>
  <c r="Q30" i="27" s="1"/>
  <c r="BA36" i="47"/>
  <c r="AN36" i="47" s="1"/>
  <c r="Q36" i="27" s="1"/>
  <c r="BA42" i="47"/>
  <c r="AN42" i="47" s="1"/>
  <c r="Q42" i="27" s="1"/>
  <c r="AW46" i="47"/>
  <c r="BA51" i="47"/>
  <c r="BA66" i="47"/>
  <c r="AN66" i="47" s="1"/>
  <c r="Q66" i="27" s="1"/>
  <c r="BA68" i="47"/>
  <c r="BA58" i="46"/>
  <c r="AY53" i="46"/>
  <c r="BA19" i="46"/>
  <c r="BA16" i="46"/>
  <c r="BA25" i="46"/>
  <c r="BA34" i="46"/>
  <c r="BA43" i="46"/>
  <c r="BA52" i="46"/>
  <c r="BA64" i="46"/>
  <c r="BA67" i="46"/>
  <c r="BA28" i="46"/>
  <c r="BA37" i="46"/>
  <c r="BA46" i="46"/>
  <c r="BA13" i="46"/>
  <c r="AR9" i="46"/>
  <c r="AT9" i="46" s="1"/>
  <c r="Q43" i="31" s="1"/>
  <c r="BA49" i="46"/>
  <c r="BA22" i="46"/>
  <c r="BA31" i="46"/>
  <c r="BA40" i="46"/>
  <c r="BA61" i="46"/>
  <c r="BA49" i="45"/>
  <c r="BA15" i="45"/>
  <c r="AN15" i="45" s="1"/>
  <c r="O15" i="27" s="1"/>
  <c r="BA64" i="45"/>
  <c r="AY55" i="45"/>
  <c r="BA16" i="45"/>
  <c r="BA56" i="45"/>
  <c r="BA24" i="45"/>
  <c r="BA36" i="45"/>
  <c r="AN36" i="45" s="1"/>
  <c r="O36" i="27" s="1"/>
  <c r="BA42" i="45"/>
  <c r="AN42" i="45" s="1"/>
  <c r="O42" i="27" s="1"/>
  <c r="BA31" i="45"/>
  <c r="AW21" i="45"/>
  <c r="BA28" i="45"/>
  <c r="BA62" i="45"/>
  <c r="AR9" i="45"/>
  <c r="AT9" i="45" s="1"/>
  <c r="Q41" i="31" s="1"/>
  <c r="BA33" i="45"/>
  <c r="BA37" i="45"/>
  <c r="BA9" i="45"/>
  <c r="BA19" i="45"/>
  <c r="BA23" i="45"/>
  <c r="AW27" i="45"/>
  <c r="BA44" i="45"/>
  <c r="BA65" i="45"/>
  <c r="BA68" i="45"/>
  <c r="BA40" i="45"/>
  <c r="BA61" i="45"/>
  <c r="BA25" i="45"/>
  <c r="BA32" i="45"/>
  <c r="BA39" i="45"/>
  <c r="AX13" i="45"/>
  <c r="BA30" i="45"/>
  <c r="AN30" i="45" s="1"/>
  <c r="O30" i="27" s="1"/>
  <c r="AW33" i="45"/>
  <c r="BA35" i="45"/>
  <c r="BA48" i="45"/>
  <c r="BA60" i="45"/>
  <c r="BA36" i="44"/>
  <c r="BA18" i="44"/>
  <c r="AN18" i="44" s="1"/>
  <c r="N18" i="27" s="1"/>
  <c r="BA60" i="44"/>
  <c r="AY15" i="44"/>
  <c r="BA61" i="44"/>
  <c r="BA17" i="44"/>
  <c r="BA39" i="44"/>
  <c r="BA38" i="44"/>
  <c r="BA63" i="44"/>
  <c r="BA35" i="44"/>
  <c r="BA48" i="44"/>
  <c r="BA21" i="44"/>
  <c r="BA26" i="44"/>
  <c r="AW61" i="44"/>
  <c r="BA36" i="43"/>
  <c r="AW24" i="43"/>
  <c r="BA12" i="43"/>
  <c r="BA45" i="43"/>
  <c r="BA48" i="43"/>
  <c r="AW36" i="43"/>
  <c r="AX63" i="43"/>
  <c r="BA9" i="43"/>
  <c r="BA57" i="43"/>
  <c r="BA60" i="43"/>
  <c r="AX17" i="42"/>
  <c r="BA18" i="42"/>
  <c r="BA19" i="42"/>
  <c r="AN19" i="42" s="1"/>
  <c r="L19" i="27" s="1"/>
  <c r="BA46" i="42"/>
  <c r="BA54" i="41"/>
  <c r="BA53" i="40"/>
  <c r="BA13" i="40"/>
  <c r="BA51" i="40"/>
  <c r="BA28" i="40"/>
  <c r="AY18" i="40"/>
  <c r="BA27" i="40"/>
  <c r="AN27" i="40" s="1"/>
  <c r="BA17" i="40"/>
  <c r="BA35" i="40"/>
  <c r="AW53" i="40"/>
  <c r="AW28" i="40"/>
  <c r="BA16" i="40"/>
  <c r="AW35" i="40"/>
  <c r="BA39" i="39"/>
  <c r="BA65" i="39"/>
  <c r="BA36" i="39"/>
  <c r="AW63" i="39"/>
  <c r="BA53" i="39"/>
  <c r="AW45" i="39"/>
  <c r="BA35" i="39"/>
  <c r="BA18" i="39"/>
  <c r="BA33" i="39"/>
  <c r="BA51" i="39"/>
  <c r="BA17" i="39"/>
  <c r="BA24" i="39"/>
  <c r="AN24" i="39" s="1"/>
  <c r="BA32" i="39"/>
  <c r="BA50" i="39"/>
  <c r="BA42" i="39"/>
  <c r="AN42" i="39" s="1"/>
  <c r="BA60" i="39"/>
  <c r="AN60" i="39" s="1"/>
  <c r="AW18" i="39"/>
  <c r="AW33" i="39"/>
  <c r="AW51" i="39"/>
  <c r="BA15" i="39"/>
  <c r="AN15" i="39" s="1"/>
  <c r="AW21" i="39"/>
  <c r="AW36" i="39"/>
  <c r="AW54" i="39"/>
  <c r="BA23" i="39"/>
  <c r="BA30" i="39"/>
  <c r="AN30" i="39" s="1"/>
  <c r="BA48" i="39"/>
  <c r="AN48" i="39" s="1"/>
  <c r="BA66" i="39"/>
  <c r="AN66" i="39" s="1"/>
  <c r="AX62" i="39"/>
  <c r="AW9" i="39"/>
  <c r="BA11" i="39"/>
  <c r="AW39" i="39"/>
  <c r="BA41" i="39"/>
  <c r="AW57" i="39"/>
  <c r="BA59" i="39"/>
  <c r="BA18" i="38"/>
  <c r="BA59" i="38"/>
  <c r="AW21" i="38"/>
  <c r="BA33" i="38"/>
  <c r="AN33" i="38" s="1"/>
  <c r="BA30" i="38"/>
  <c r="BA48" i="38"/>
  <c r="AN48" i="38" s="1"/>
  <c r="BA54" i="38"/>
  <c r="BA15" i="38"/>
  <c r="AN15" i="38" s="1"/>
  <c r="AW27" i="38"/>
  <c r="BA39" i="38"/>
  <c r="AN39" i="38" s="1"/>
  <c r="BA45" i="38"/>
  <c r="BA66" i="38"/>
  <c r="AN66" i="38" s="1"/>
  <c r="BA57" i="38"/>
  <c r="AN57" i="38" s="1"/>
  <c r="AX56" i="38"/>
  <c r="AW12" i="38"/>
  <c r="AW18" i="38"/>
  <c r="AW24" i="38"/>
  <c r="AW30" i="38"/>
  <c r="AW36" i="38"/>
  <c r="AW63" i="38"/>
  <c r="BA9" i="38"/>
  <c r="AN9" i="38" s="1"/>
  <c r="AW45" i="38"/>
  <c r="AW54" i="38"/>
  <c r="BA65" i="38"/>
  <c r="AY61" i="38"/>
  <c r="BA42" i="38"/>
  <c r="AN42" i="38" s="1"/>
  <c r="BA47" i="38"/>
  <c r="BA51" i="38"/>
  <c r="AN51" i="38" s="1"/>
  <c r="BA56" i="38"/>
  <c r="BA60" i="38"/>
  <c r="AN60" i="38" s="1"/>
  <c r="BA22" i="37"/>
  <c r="AP10" i="37"/>
  <c r="AS10" i="37" s="1"/>
  <c r="AW16" i="37"/>
  <c r="BA15" i="36"/>
  <c r="BA28" i="36"/>
  <c r="BA16" i="36"/>
  <c r="BA59" i="36"/>
  <c r="BA16" i="35"/>
  <c r="BA58" i="35"/>
  <c r="BA22" i="35"/>
  <c r="BA19" i="35"/>
  <c r="BA35" i="35"/>
  <c r="BA33" i="35"/>
  <c r="AN33" i="35" s="1"/>
  <c r="E33" i="27" s="1"/>
  <c r="BA12" i="35"/>
  <c r="BA55" i="35"/>
  <c r="BA28" i="32"/>
  <c r="BA54" i="48"/>
  <c r="AW54" i="48"/>
  <c r="BA57" i="48"/>
  <c r="AW57" i="48"/>
  <c r="BA60" i="48"/>
  <c r="AW60" i="48"/>
  <c r="BA66" i="48"/>
  <c r="AW66" i="48"/>
  <c r="BA44" i="48"/>
  <c r="BA41" i="48"/>
  <c r="BA38" i="48"/>
  <c r="BA35" i="48"/>
  <c r="BA32" i="48"/>
  <c r="BA29" i="48"/>
  <c r="BA26" i="48"/>
  <c r="BA23" i="48"/>
  <c r="BA20" i="48"/>
  <c r="BA17" i="48"/>
  <c r="BA14" i="48"/>
  <c r="BA11" i="48"/>
  <c r="AW68" i="48"/>
  <c r="AW65" i="48"/>
  <c r="AW62" i="48"/>
  <c r="AW59" i="48"/>
  <c r="AW56" i="48"/>
  <c r="AW53" i="48"/>
  <c r="AW50" i="48"/>
  <c r="AW47" i="48"/>
  <c r="AW44" i="48"/>
  <c r="AW41" i="48"/>
  <c r="AW38" i="48"/>
  <c r="AW35" i="48"/>
  <c r="AW32" i="48"/>
  <c r="AW29" i="48"/>
  <c r="AW26" i="48"/>
  <c r="AW23" i="48"/>
  <c r="AW20" i="48"/>
  <c r="AW17" i="48"/>
  <c r="AW14" i="48"/>
  <c r="AW11" i="48"/>
  <c r="AW16" i="48"/>
  <c r="BA15" i="48"/>
  <c r="BC5" i="48"/>
  <c r="AW34" i="48"/>
  <c r="AW25" i="48"/>
  <c r="BA24" i="48"/>
  <c r="AW43" i="48"/>
  <c r="BA42" i="48"/>
  <c r="BA33" i="48"/>
  <c r="AW31" i="48"/>
  <c r="BA25" i="48"/>
  <c r="AW40" i="48"/>
  <c r="AX42" i="48"/>
  <c r="AX15" i="48"/>
  <c r="AW18" i="48"/>
  <c r="AX20" i="48"/>
  <c r="BA47" i="48"/>
  <c r="BA50" i="48"/>
  <c r="BA56" i="48"/>
  <c r="BA10" i="48"/>
  <c r="BA68" i="48"/>
  <c r="BA9" i="48"/>
  <c r="AN9" i="48" s="1"/>
  <c r="M46" i="31" s="1"/>
  <c r="AY18" i="48"/>
  <c r="AW21" i="48"/>
  <c r="BA37" i="48"/>
  <c r="BA40" i="48"/>
  <c r="BA43" i="48"/>
  <c r="AY47" i="48"/>
  <c r="AY53" i="48"/>
  <c r="AY59" i="48"/>
  <c r="AX43" i="48"/>
  <c r="AY68" i="48"/>
  <c r="BA22" i="48"/>
  <c r="AX10" i="48"/>
  <c r="AX13" i="48"/>
  <c r="AW15" i="48"/>
  <c r="AY67" i="48"/>
  <c r="AY64" i="48"/>
  <c r="AY61" i="48"/>
  <c r="AY58" i="48"/>
  <c r="AY55" i="48"/>
  <c r="AY52" i="48"/>
  <c r="AY49" i="48"/>
  <c r="AY46" i="48"/>
  <c r="AY43" i="48"/>
  <c r="AY34" i="48"/>
  <c r="AY25" i="48"/>
  <c r="AY16" i="48"/>
  <c r="AY13" i="48"/>
  <c r="AX25" i="48"/>
  <c r="AX35" i="48"/>
  <c r="BA53" i="48"/>
  <c r="BA13" i="48"/>
  <c r="AY23" i="48"/>
  <c r="BA36" i="48"/>
  <c r="AN36" i="48" s="1"/>
  <c r="R36" i="27" s="1"/>
  <c r="BA16" i="48"/>
  <c r="AX17" i="48"/>
  <c r="AY21" i="48"/>
  <c r="AY33" i="48"/>
  <c r="BA46" i="48"/>
  <c r="AW46" i="48"/>
  <c r="BA49" i="48"/>
  <c r="AW49" i="48"/>
  <c r="BA52" i="48"/>
  <c r="AW52" i="48"/>
  <c r="BA55" i="48"/>
  <c r="AW55" i="48"/>
  <c r="BA58" i="48"/>
  <c r="AW58" i="48"/>
  <c r="BA61" i="48"/>
  <c r="AW61" i="48"/>
  <c r="BA64" i="48"/>
  <c r="AW64" i="48"/>
  <c r="AW67" i="48"/>
  <c r="AW45" i="48"/>
  <c r="BA45" i="48"/>
  <c r="BA48" i="48"/>
  <c r="AW48" i="48"/>
  <c r="AW51" i="48"/>
  <c r="BA51" i="48"/>
  <c r="AW10" i="48"/>
  <c r="BA12" i="48"/>
  <c r="AN12" i="48" s="1"/>
  <c r="R12" i="27" s="1"/>
  <c r="AW13" i="48"/>
  <c r="AW28" i="48"/>
  <c r="BA30" i="48"/>
  <c r="AN30" i="48" s="1"/>
  <c r="R30" i="27" s="1"/>
  <c r="AX68" i="48"/>
  <c r="AX65" i="48"/>
  <c r="AX62" i="48"/>
  <c r="AX59" i="48"/>
  <c r="AX56" i="48"/>
  <c r="AX53" i="48"/>
  <c r="AX50" i="48"/>
  <c r="AX47" i="48"/>
  <c r="AX67" i="48"/>
  <c r="AX64" i="48"/>
  <c r="AX61" i="48"/>
  <c r="AX58" i="48"/>
  <c r="AX55" i="48"/>
  <c r="AX52" i="48"/>
  <c r="AX49" i="48"/>
  <c r="AX46" i="48"/>
  <c r="BA39" i="48"/>
  <c r="AN39" i="48" s="1"/>
  <c r="R39" i="27" s="1"/>
  <c r="BA27" i="48"/>
  <c r="AX37" i="48"/>
  <c r="BA59" i="48"/>
  <c r="BA62" i="48"/>
  <c r="AY15" i="48"/>
  <c r="AX18" i="48"/>
  <c r="BA28" i="48"/>
  <c r="BA34" i="48"/>
  <c r="AX34" i="48"/>
  <c r="AY44" i="48"/>
  <c r="AY50" i="48"/>
  <c r="AY56" i="48"/>
  <c r="AY62" i="48"/>
  <c r="AX11" i="48"/>
  <c r="AX16" i="48"/>
  <c r="AY17" i="48"/>
  <c r="AY32" i="48"/>
  <c r="AY42" i="48"/>
  <c r="AW63" i="48"/>
  <c r="BA63" i="48"/>
  <c r="AW42" i="48"/>
  <c r="BA67" i="48"/>
  <c r="AX26" i="48"/>
  <c r="AX28" i="48"/>
  <c r="AX31" i="48"/>
  <c r="AW37" i="48"/>
  <c r="AY10" i="48"/>
  <c r="AY26" i="48"/>
  <c r="AY28" i="48"/>
  <c r="AY31" i="48"/>
  <c r="BA65" i="48"/>
  <c r="BA31" i="48"/>
  <c r="AY35" i="48"/>
  <c r="AY37" i="48"/>
  <c r="AY40" i="48"/>
  <c r="AX44" i="48"/>
  <c r="AY65" i="48"/>
  <c r="AY14" i="48"/>
  <c r="AX22" i="48"/>
  <c r="AW24" i="48"/>
  <c r="AW27" i="48"/>
  <c r="AY41" i="48"/>
  <c r="AY11" i="48"/>
  <c r="AY38" i="48"/>
  <c r="AR9" i="48"/>
  <c r="AT9" i="48" s="1"/>
  <c r="Q47" i="31" s="1"/>
  <c r="AY29" i="48"/>
  <c r="AX29" i="48"/>
  <c r="AX38" i="48"/>
  <c r="AY20" i="48"/>
  <c r="AX14" i="48"/>
  <c r="AX23" i="48"/>
  <c r="AX32" i="48"/>
  <c r="AX41" i="48"/>
  <c r="AX68" i="47"/>
  <c r="AX65" i="47"/>
  <c r="AX62" i="47"/>
  <c r="AX59" i="47"/>
  <c r="AX56" i="47"/>
  <c r="BA65" i="47"/>
  <c r="BA57" i="47"/>
  <c r="AN57" i="47" s="1"/>
  <c r="Q57" i="27" s="1"/>
  <c r="BA58" i="47"/>
  <c r="AX64" i="47"/>
  <c r="AW9" i="47"/>
  <c r="AY14" i="47"/>
  <c r="AX19" i="47"/>
  <c r="AW48" i="47"/>
  <c r="AW55" i="47"/>
  <c r="BA62" i="47"/>
  <c r="AY64" i="47"/>
  <c r="AY65" i="47"/>
  <c r="AP9" i="47"/>
  <c r="AS9" i="47" s="1"/>
  <c r="Q44" i="31" s="1"/>
  <c r="AX26" i="47"/>
  <c r="AX32" i="47"/>
  <c r="AX35" i="47"/>
  <c r="AX14" i="47"/>
  <c r="AY26" i="47"/>
  <c r="AY35" i="47"/>
  <c r="AY16" i="47"/>
  <c r="BA19" i="47"/>
  <c r="AW20" i="47"/>
  <c r="BA54" i="47"/>
  <c r="AN54" i="47" s="1"/>
  <c r="Q54" i="27" s="1"/>
  <c r="AX61" i="47"/>
  <c r="BA53" i="47"/>
  <c r="BA50" i="47"/>
  <c r="BA47" i="47"/>
  <c r="BA44" i="47"/>
  <c r="BA41" i="47"/>
  <c r="BA38" i="47"/>
  <c r="BA35" i="47"/>
  <c r="BA32" i="47"/>
  <c r="BA29" i="47"/>
  <c r="BA26" i="47"/>
  <c r="BA23" i="47"/>
  <c r="AN23" i="47" s="1"/>
  <c r="Q23" i="27" s="1"/>
  <c r="BA20" i="47"/>
  <c r="BA17" i="47"/>
  <c r="BA14" i="47"/>
  <c r="BA11" i="47"/>
  <c r="AN11" i="47" s="1"/>
  <c r="Q11" i="27" s="1"/>
  <c r="AW68" i="47"/>
  <c r="AW65" i="47"/>
  <c r="AW62" i="47"/>
  <c r="AW59" i="47"/>
  <c r="AW56" i="47"/>
  <c r="AW53" i="47"/>
  <c r="AW50" i="47"/>
  <c r="AW47" i="47"/>
  <c r="AW44" i="47"/>
  <c r="BC5" i="47"/>
  <c r="BA60" i="47"/>
  <c r="AN60" i="47" s="1"/>
  <c r="Q60" i="27" s="1"/>
  <c r="AX38" i="47"/>
  <c r="AX41" i="47"/>
  <c r="AX44" i="47"/>
  <c r="AW19" i="47"/>
  <c r="AW51" i="47"/>
  <c r="AW10" i="47"/>
  <c r="AX17" i="47"/>
  <c r="BA21" i="47"/>
  <c r="AN21" i="47" s="1"/>
  <c r="Q21" i="27" s="1"/>
  <c r="AW22" i="47"/>
  <c r="AW52" i="47"/>
  <c r="BA59" i="47"/>
  <c r="AY61" i="47"/>
  <c r="AY62" i="47"/>
  <c r="BA61" i="47"/>
  <c r="BA16" i="47"/>
  <c r="AW17" i="47"/>
  <c r="AX29" i="47"/>
  <c r="AW58" i="47"/>
  <c r="AR9" i="47"/>
  <c r="AT9" i="47" s="1"/>
  <c r="Q45" i="31" s="1"/>
  <c r="BA18" i="47"/>
  <c r="AN18" i="47" s="1"/>
  <c r="Q18" i="27" s="1"/>
  <c r="AY29" i="47"/>
  <c r="AY32" i="47"/>
  <c r="AY38" i="47"/>
  <c r="AY41" i="47"/>
  <c r="AY44" i="47"/>
  <c r="AY17" i="47"/>
  <c r="AW49" i="47"/>
  <c r="BA52" i="47"/>
  <c r="AX58" i="47"/>
  <c r="AW9" i="46"/>
  <c r="AW12" i="46"/>
  <c r="AW15" i="46"/>
  <c r="AW18" i="46"/>
  <c r="AW21" i="46"/>
  <c r="AW24" i="46"/>
  <c r="AW60" i="46"/>
  <c r="AW63" i="46"/>
  <c r="BA57" i="46"/>
  <c r="AN57" i="46" s="1"/>
  <c r="P57" i="27" s="1"/>
  <c r="AR10" i="46"/>
  <c r="AT10" i="46" s="1"/>
  <c r="AY9" i="46"/>
  <c r="AY12" i="46"/>
  <c r="AY15" i="46"/>
  <c r="AY18" i="46"/>
  <c r="AY21" i="46"/>
  <c r="BA18" i="46"/>
  <c r="AW10" i="46"/>
  <c r="AW13" i="46"/>
  <c r="AW16" i="46"/>
  <c r="AW19" i="46"/>
  <c r="AW22" i="46"/>
  <c r="AW25" i="46"/>
  <c r="AW28" i="46"/>
  <c r="AW31" i="46"/>
  <c r="AW34" i="46"/>
  <c r="AW37" i="46"/>
  <c r="AW40" i="46"/>
  <c r="AW43" i="46"/>
  <c r="AW46" i="46"/>
  <c r="AW49" i="46"/>
  <c r="AW52" i="46"/>
  <c r="AW55" i="46"/>
  <c r="AW58" i="46"/>
  <c r="AW61" i="46"/>
  <c r="AW64" i="46"/>
  <c r="AW67" i="46"/>
  <c r="AX22" i="46"/>
  <c r="AX25" i="46"/>
  <c r="AX28" i="46"/>
  <c r="AX31" i="46"/>
  <c r="AX34" i="46"/>
  <c r="AX37" i="46"/>
  <c r="AX40" i="46"/>
  <c r="AX43" i="46"/>
  <c r="AX46" i="46"/>
  <c r="AX49" i="46"/>
  <c r="AX52" i="46"/>
  <c r="AX55" i="46"/>
  <c r="AX58" i="46"/>
  <c r="AX61" i="46"/>
  <c r="BA27" i="46"/>
  <c r="AN27" i="46" s="1"/>
  <c r="P27" i="27" s="1"/>
  <c r="BA45" i="46"/>
  <c r="AN45" i="46" s="1"/>
  <c r="P45" i="27" s="1"/>
  <c r="BA51" i="46"/>
  <c r="AN51" i="46" s="1"/>
  <c r="P51" i="27" s="1"/>
  <c r="BC5" i="46"/>
  <c r="AY10" i="46"/>
  <c r="AY13" i="46"/>
  <c r="AY16" i="46"/>
  <c r="AY19" i="46"/>
  <c r="AY22" i="46"/>
  <c r="AY25" i="46"/>
  <c r="AY28" i="46"/>
  <c r="AY31" i="46"/>
  <c r="AY34" i="46"/>
  <c r="AY37" i="46"/>
  <c r="AY40" i="46"/>
  <c r="AY43" i="46"/>
  <c r="AY46" i="46"/>
  <c r="AY49" i="46"/>
  <c r="AY52" i="46"/>
  <c r="AY55" i="46"/>
  <c r="AY58" i="46"/>
  <c r="AY61" i="46"/>
  <c r="AY64" i="46"/>
  <c r="AY67" i="46"/>
  <c r="BA30" i="46"/>
  <c r="AN30" i="46" s="1"/>
  <c r="P30" i="27" s="1"/>
  <c r="BA33" i="46"/>
  <c r="AN33" i="46" s="1"/>
  <c r="P33" i="27" s="1"/>
  <c r="BA48" i="46"/>
  <c r="AN48" i="46" s="1"/>
  <c r="P48" i="27" s="1"/>
  <c r="BA66" i="46"/>
  <c r="AN66" i="46" s="1"/>
  <c r="P66" i="27" s="1"/>
  <c r="BA21" i="46"/>
  <c r="BA42" i="46"/>
  <c r="AN42" i="46" s="1"/>
  <c r="P42" i="27" s="1"/>
  <c r="BA54" i="46"/>
  <c r="AN54" i="46" s="1"/>
  <c r="P54" i="27" s="1"/>
  <c r="BA24" i="46"/>
  <c r="BA63" i="46"/>
  <c r="AY29" i="46"/>
  <c r="AY41" i="46"/>
  <c r="AY44" i="46"/>
  <c r="AY47" i="46"/>
  <c r="AY50" i="46"/>
  <c r="BA9" i="46"/>
  <c r="BA12" i="46"/>
  <c r="BA15" i="46"/>
  <c r="BA36" i="46"/>
  <c r="AN36" i="46" s="1"/>
  <c r="P36" i="27" s="1"/>
  <c r="BA39" i="46"/>
  <c r="AN39" i="46" s="1"/>
  <c r="P39" i="27" s="1"/>
  <c r="BA60" i="46"/>
  <c r="BA11" i="46"/>
  <c r="AN11" i="46" s="1"/>
  <c r="P11" i="27" s="1"/>
  <c r="BA14" i="46"/>
  <c r="AN14" i="46" s="1"/>
  <c r="P14" i="27" s="1"/>
  <c r="BA17" i="46"/>
  <c r="AN17" i="46" s="1"/>
  <c r="P17" i="27" s="1"/>
  <c r="BA20" i="46"/>
  <c r="AN20" i="46" s="1"/>
  <c r="P20" i="27" s="1"/>
  <c r="BA23" i="46"/>
  <c r="AN23" i="46" s="1"/>
  <c r="P23" i="27" s="1"/>
  <c r="BA26" i="46"/>
  <c r="AN26" i="46" s="1"/>
  <c r="P26" i="27" s="1"/>
  <c r="BA29" i="46"/>
  <c r="BA32" i="46"/>
  <c r="AN32" i="46" s="1"/>
  <c r="P32" i="27" s="1"/>
  <c r="BA35" i="46"/>
  <c r="AN35" i="46" s="1"/>
  <c r="P35" i="27" s="1"/>
  <c r="BA38" i="46"/>
  <c r="AN38" i="46" s="1"/>
  <c r="P38" i="27" s="1"/>
  <c r="BA41" i="46"/>
  <c r="BA44" i="46"/>
  <c r="BA47" i="46"/>
  <c r="BA50" i="46"/>
  <c r="BA53" i="46"/>
  <c r="BA56" i="46"/>
  <c r="AN56" i="46" s="1"/>
  <c r="P56" i="27" s="1"/>
  <c r="BA59" i="46"/>
  <c r="AN59" i="46" s="1"/>
  <c r="P59" i="27" s="1"/>
  <c r="BA62" i="46"/>
  <c r="AN62" i="46" s="1"/>
  <c r="P62" i="27" s="1"/>
  <c r="BA65" i="46"/>
  <c r="AN65" i="46" s="1"/>
  <c r="P65" i="27" s="1"/>
  <c r="AP10" i="45"/>
  <c r="AS10" i="45" s="1"/>
  <c r="AW39" i="45"/>
  <c r="AW45" i="45"/>
  <c r="AW61" i="45"/>
  <c r="AW55" i="45"/>
  <c r="AW49" i="45"/>
  <c r="AW46" i="45"/>
  <c r="AW43" i="45"/>
  <c r="AW28" i="45"/>
  <c r="AW25" i="45"/>
  <c r="AW13" i="45"/>
  <c r="BC5" i="45"/>
  <c r="AW22" i="45"/>
  <c r="AW68" i="45"/>
  <c r="AW65" i="45"/>
  <c r="AW62" i="45"/>
  <c r="AW59" i="45"/>
  <c r="AW56" i="45"/>
  <c r="AW53" i="45"/>
  <c r="AW50" i="45"/>
  <c r="AW47" i="45"/>
  <c r="AW44" i="45"/>
  <c r="AW67" i="45"/>
  <c r="AW64" i="45"/>
  <c r="AW58" i="45"/>
  <c r="AW34" i="45"/>
  <c r="AW31" i="45"/>
  <c r="AW52" i="45"/>
  <c r="AW40" i="45"/>
  <c r="AW37" i="45"/>
  <c r="AW19" i="45"/>
  <c r="AW16" i="45"/>
  <c r="AW10" i="45"/>
  <c r="BA14" i="45"/>
  <c r="AW24" i="45"/>
  <c r="BA43" i="45"/>
  <c r="AW57" i="45"/>
  <c r="AP9" i="45"/>
  <c r="AS9" i="45" s="1"/>
  <c r="Q40" i="31" s="1"/>
  <c r="AW9" i="45"/>
  <c r="BA47" i="45"/>
  <c r="BA51" i="45"/>
  <c r="AN51" i="45" s="1"/>
  <c r="O51" i="27" s="1"/>
  <c r="BA63" i="45"/>
  <c r="AN63" i="45" s="1"/>
  <c r="O63" i="27" s="1"/>
  <c r="BA13" i="45"/>
  <c r="BA20" i="45"/>
  <c r="AW48" i="45"/>
  <c r="BA55" i="45"/>
  <c r="BA59" i="45"/>
  <c r="BA67" i="45"/>
  <c r="BA34" i="45"/>
  <c r="BA41" i="45"/>
  <c r="AW60" i="45"/>
  <c r="BA26" i="45"/>
  <c r="BA46" i="45"/>
  <c r="BA54" i="45"/>
  <c r="AN54" i="45" s="1"/>
  <c r="O54" i="27" s="1"/>
  <c r="BA66" i="45"/>
  <c r="AN66" i="45" s="1"/>
  <c r="O66" i="27" s="1"/>
  <c r="AX25" i="45"/>
  <c r="AX28" i="45"/>
  <c r="AX46" i="45"/>
  <c r="AY22" i="45"/>
  <c r="AY31" i="45"/>
  <c r="AY43" i="45"/>
  <c r="AX16" i="45"/>
  <c r="AX19" i="45"/>
  <c r="AX22" i="45"/>
  <c r="AX31" i="45"/>
  <c r="AX34" i="45"/>
  <c r="AX37" i="45"/>
  <c r="AX40" i="45"/>
  <c r="AX52" i="45"/>
  <c r="AX55" i="45"/>
  <c r="AX58" i="45"/>
  <c r="AX61" i="45"/>
  <c r="AX64" i="45"/>
  <c r="AX67" i="45"/>
  <c r="AY19" i="45"/>
  <c r="AY40" i="45"/>
  <c r="AY58" i="45"/>
  <c r="AY61" i="45"/>
  <c r="AY64" i="45"/>
  <c r="AW11" i="45"/>
  <c r="AW14" i="45"/>
  <c r="AW17" i="45"/>
  <c r="AW20" i="45"/>
  <c r="AW23" i="45"/>
  <c r="AW26" i="45"/>
  <c r="AW29" i="45"/>
  <c r="AW32" i="45"/>
  <c r="AW35" i="45"/>
  <c r="AW38" i="45"/>
  <c r="AW41" i="45"/>
  <c r="AX43" i="45"/>
  <c r="AX49" i="45"/>
  <c r="AY25" i="45"/>
  <c r="AY28" i="45"/>
  <c r="AY34" i="45"/>
  <c r="AY37" i="45"/>
  <c r="AY46" i="45"/>
  <c r="AY67" i="45"/>
  <c r="AX11" i="45"/>
  <c r="AX14" i="45"/>
  <c r="AX17" i="45"/>
  <c r="AX20" i="45"/>
  <c r="AX23" i="45"/>
  <c r="AX26" i="45"/>
  <c r="AX29" i="45"/>
  <c r="AX32" i="45"/>
  <c r="AX35" i="45"/>
  <c r="AX38" i="45"/>
  <c r="AX41" i="45"/>
  <c r="AX44" i="45"/>
  <c r="AX47" i="45"/>
  <c r="AX50" i="45"/>
  <c r="AX10" i="45"/>
  <c r="AY10" i="45"/>
  <c r="AY13" i="45"/>
  <c r="AY16" i="45"/>
  <c r="AY49" i="45"/>
  <c r="AY52" i="45"/>
  <c r="AX68" i="44"/>
  <c r="AX65" i="44"/>
  <c r="AX62" i="44"/>
  <c r="AX59" i="44"/>
  <c r="AX56" i="44"/>
  <c r="AX53" i="44"/>
  <c r="AX50" i="44"/>
  <c r="AX47" i="44"/>
  <c r="AX44" i="44"/>
  <c r="AX41" i="44"/>
  <c r="AX38" i="44"/>
  <c r="AX35" i="44"/>
  <c r="AX32" i="44"/>
  <c r="AX29" i="44"/>
  <c r="AX26" i="44"/>
  <c r="AX13" i="44"/>
  <c r="AX20" i="44"/>
  <c r="BA65" i="44"/>
  <c r="AW36" i="44"/>
  <c r="BA10" i="44"/>
  <c r="AW11" i="44"/>
  <c r="BA27" i="44"/>
  <c r="AN27" i="44" s="1"/>
  <c r="N27" i="27" s="1"/>
  <c r="BA28" i="44"/>
  <c r="BA31" i="44"/>
  <c r="BA41" i="44"/>
  <c r="AX43" i="44"/>
  <c r="AY46" i="44"/>
  <c r="AY47" i="44"/>
  <c r="AW57" i="44"/>
  <c r="AX60" i="44"/>
  <c r="AY63" i="44"/>
  <c r="AW64" i="44"/>
  <c r="AW65" i="44"/>
  <c r="BA66" i="44"/>
  <c r="AN66" i="44" s="1"/>
  <c r="N66" i="27" s="1"/>
  <c r="BA67" i="44"/>
  <c r="BA11" i="44"/>
  <c r="BA12" i="44"/>
  <c r="AN12" i="44" s="1"/>
  <c r="N12" i="27" s="1"/>
  <c r="BA32" i="44"/>
  <c r="AW45" i="44"/>
  <c r="AX48" i="44"/>
  <c r="AW52" i="44"/>
  <c r="AW53" i="44"/>
  <c r="BA54" i="44"/>
  <c r="AN54" i="44" s="1"/>
  <c r="N54" i="27" s="1"/>
  <c r="BA55" i="44"/>
  <c r="AY11" i="44"/>
  <c r="BA13" i="44"/>
  <c r="AW14" i="44"/>
  <c r="AW15" i="44"/>
  <c r="AY21" i="44"/>
  <c r="AY28" i="44"/>
  <c r="AY29" i="44"/>
  <c r="AY32" i="44"/>
  <c r="AW42" i="44"/>
  <c r="AX45" i="44"/>
  <c r="AY48" i="44"/>
  <c r="AW49" i="44"/>
  <c r="AW50" i="44"/>
  <c r="BA51" i="44"/>
  <c r="AN51" i="44" s="1"/>
  <c r="N51" i="27" s="1"/>
  <c r="BA52" i="44"/>
  <c r="BA62" i="44"/>
  <c r="AX64" i="44"/>
  <c r="AY67" i="44"/>
  <c r="AY68" i="44"/>
  <c r="AX14" i="44"/>
  <c r="AX15" i="44"/>
  <c r="AY19" i="44"/>
  <c r="BA20" i="44"/>
  <c r="AW22" i="44"/>
  <c r="AW39" i="44"/>
  <c r="AW46" i="44"/>
  <c r="AW47" i="44"/>
  <c r="BA49" i="44"/>
  <c r="BA59" i="44"/>
  <c r="AX61" i="44"/>
  <c r="AY64" i="44"/>
  <c r="AY65" i="44"/>
  <c r="AW13" i="44"/>
  <c r="AW24" i="44"/>
  <c r="AW43" i="44"/>
  <c r="BA45" i="44"/>
  <c r="BA46" i="44"/>
  <c r="AX58" i="44"/>
  <c r="AY62" i="44"/>
  <c r="AY13" i="44"/>
  <c r="BA14" i="44"/>
  <c r="BA15" i="44"/>
  <c r="AW16" i="44"/>
  <c r="AY20" i="44"/>
  <c r="BA22" i="44"/>
  <c r="AW23" i="44"/>
  <c r="AW30" i="44"/>
  <c r="AW33" i="44"/>
  <c r="AW40" i="44"/>
  <c r="AW41" i="44"/>
  <c r="BA42" i="44"/>
  <c r="BA43" i="44"/>
  <c r="BA53" i="44"/>
  <c r="AX55" i="44"/>
  <c r="AY58" i="44"/>
  <c r="AY59" i="44"/>
  <c r="AX23" i="44"/>
  <c r="AW25" i="44"/>
  <c r="AW37" i="44"/>
  <c r="AW38" i="44"/>
  <c r="BA40" i="44"/>
  <c r="BA50" i="44"/>
  <c r="AX52" i="44"/>
  <c r="AY55" i="44"/>
  <c r="AY56" i="44"/>
  <c r="BA19" i="44"/>
  <c r="AW55" i="44"/>
  <c r="BA57" i="44"/>
  <c r="AX28" i="44"/>
  <c r="AX22" i="44"/>
  <c r="AW44" i="44"/>
  <c r="BA9" i="44"/>
  <c r="AW10" i="44"/>
  <c r="AY14" i="44"/>
  <c r="BA16" i="44"/>
  <c r="AW17" i="44"/>
  <c r="AW34" i="44"/>
  <c r="AW35" i="44"/>
  <c r="BA37" i="44"/>
  <c r="BA47" i="44"/>
  <c r="AX49" i="44"/>
  <c r="AY52" i="44"/>
  <c r="AY53" i="44"/>
  <c r="AW20" i="44"/>
  <c r="AW21" i="44"/>
  <c r="BA29" i="44"/>
  <c r="AW48" i="44"/>
  <c r="AW56" i="44"/>
  <c r="BA58" i="44"/>
  <c r="BA68" i="44"/>
  <c r="AX21" i="44"/>
  <c r="AX67" i="44"/>
  <c r="AW9" i="44"/>
  <c r="BA56" i="44"/>
  <c r="AY61" i="44"/>
  <c r="AX17" i="44"/>
  <c r="AY22" i="44"/>
  <c r="BA23" i="44"/>
  <c r="BA25" i="44"/>
  <c r="AW26" i="44"/>
  <c r="AW28" i="44"/>
  <c r="AW29" i="44"/>
  <c r="AW31" i="44"/>
  <c r="AW32" i="44"/>
  <c r="BA34" i="44"/>
  <c r="BA44" i="44"/>
  <c r="AX46" i="44"/>
  <c r="AY49" i="44"/>
  <c r="AY50" i="44"/>
  <c r="AW67" i="44"/>
  <c r="AW68" i="44"/>
  <c r="AX35" i="43"/>
  <c r="AY61" i="43"/>
  <c r="AY58" i="43"/>
  <c r="AY55" i="43"/>
  <c r="AY52" i="43"/>
  <c r="AY49" i="43"/>
  <c r="AY46" i="43"/>
  <c r="AY43" i="43"/>
  <c r="AY40" i="43"/>
  <c r="AY37" i="43"/>
  <c r="AY34" i="43"/>
  <c r="AY31" i="43"/>
  <c r="AY28" i="43"/>
  <c r="AY25" i="43"/>
  <c r="AY22" i="43"/>
  <c r="AY19" i="43"/>
  <c r="AY16" i="43"/>
  <c r="AY13" i="43"/>
  <c r="AY10" i="43"/>
  <c r="AY35" i="43"/>
  <c r="AY39" i="43"/>
  <c r="AY63" i="43"/>
  <c r="AY12" i="43"/>
  <c r="AX41" i="43"/>
  <c r="BA65" i="43"/>
  <c r="BA62" i="43"/>
  <c r="BA59" i="43"/>
  <c r="BA56" i="43"/>
  <c r="BA53" i="43"/>
  <c r="BA50" i="43"/>
  <c r="BA47" i="43"/>
  <c r="BA44" i="43"/>
  <c r="BA41" i="43"/>
  <c r="BA38" i="43"/>
  <c r="BA35" i="43"/>
  <c r="BA32" i="43"/>
  <c r="BA29" i="43"/>
  <c r="BA26" i="43"/>
  <c r="BA23" i="43"/>
  <c r="BA20" i="43"/>
  <c r="BA17" i="43"/>
  <c r="BA14" i="43"/>
  <c r="BA11" i="43"/>
  <c r="AW68" i="43"/>
  <c r="AW65" i="43"/>
  <c r="AW62" i="43"/>
  <c r="AW59" i="43"/>
  <c r="AW53" i="43"/>
  <c r="AW47" i="43"/>
  <c r="AW35" i="43"/>
  <c r="AW26" i="43"/>
  <c r="AW11" i="43"/>
  <c r="BA58" i="43"/>
  <c r="BA55" i="43"/>
  <c r="BA52" i="43"/>
  <c r="BA43" i="43"/>
  <c r="BA37" i="43"/>
  <c r="BA31" i="43"/>
  <c r="BA13" i="43"/>
  <c r="AW50" i="43"/>
  <c r="AW38" i="43"/>
  <c r="AW32" i="43"/>
  <c r="AW14" i="43"/>
  <c r="BA61" i="43"/>
  <c r="BA49" i="43"/>
  <c r="BA46" i="43"/>
  <c r="BA40" i="43"/>
  <c r="BA34" i="43"/>
  <c r="BA28" i="43"/>
  <c r="BA19" i="43"/>
  <c r="AW56" i="43"/>
  <c r="AW44" i="43"/>
  <c r="AW41" i="43"/>
  <c r="AW29" i="43"/>
  <c r="AW23" i="43"/>
  <c r="AW20" i="43"/>
  <c r="AW17" i="43"/>
  <c r="BA67" i="43"/>
  <c r="BA64" i="43"/>
  <c r="BA25" i="43"/>
  <c r="BA22" i="43"/>
  <c r="BA16" i="43"/>
  <c r="BA10" i="43"/>
  <c r="BC5" i="43"/>
  <c r="AW15" i="43"/>
  <c r="BA18" i="43"/>
  <c r="AW19" i="43"/>
  <c r="AW27" i="43"/>
  <c r="BA30" i="43"/>
  <c r="AW31" i="43"/>
  <c r="AW39" i="43"/>
  <c r="BA42" i="43"/>
  <c r="AN42" i="43" s="1"/>
  <c r="M42" i="27" s="1"/>
  <c r="AW43" i="43"/>
  <c r="AW51" i="43"/>
  <c r="BA54" i="43"/>
  <c r="AN54" i="43" s="1"/>
  <c r="M54" i="27" s="1"/>
  <c r="AW55" i="43"/>
  <c r="AW63" i="43"/>
  <c r="AX66" i="43"/>
  <c r="AX15" i="43"/>
  <c r="AX23" i="43"/>
  <c r="AX39" i="43"/>
  <c r="AX47" i="43"/>
  <c r="AX12" i="43"/>
  <c r="AY15" i="43"/>
  <c r="AY51" i="43"/>
  <c r="AY59" i="43"/>
  <c r="AX9" i="43"/>
  <c r="BA15" i="43"/>
  <c r="BA27" i="43"/>
  <c r="BA39" i="43"/>
  <c r="BA51" i="43"/>
  <c r="BA63" i="43"/>
  <c r="AY9" i="43"/>
  <c r="AX20" i="43"/>
  <c r="AX24" i="43"/>
  <c r="AX32" i="43"/>
  <c r="AX36" i="43"/>
  <c r="AX44" i="43"/>
  <c r="AX48" i="43"/>
  <c r="AX60" i="43"/>
  <c r="AX10" i="43"/>
  <c r="AX13" i="43"/>
  <c r="AY20" i="43"/>
  <c r="AY32" i="43"/>
  <c r="AY44" i="43"/>
  <c r="AY56" i="43"/>
  <c r="AY60" i="43"/>
  <c r="BA68" i="43"/>
  <c r="AW21" i="43"/>
  <c r="AW25" i="43"/>
  <c r="AW33" i="43"/>
  <c r="AW37" i="43"/>
  <c r="AW45" i="43"/>
  <c r="AW49" i="43"/>
  <c r="AW57" i="43"/>
  <c r="AW61" i="43"/>
  <c r="AY23" i="43"/>
  <c r="BA66" i="43"/>
  <c r="AP10" i="43"/>
  <c r="AS10" i="43" s="1"/>
  <c r="AP9" i="43"/>
  <c r="AS9" i="43" s="1"/>
  <c r="Q35" i="31" s="1"/>
  <c r="AX29" i="43"/>
  <c r="AY67" i="43"/>
  <c r="AY41" i="43"/>
  <c r="AY65" i="43"/>
  <c r="AX11" i="43"/>
  <c r="AX14" i="43"/>
  <c r="AW22" i="43"/>
  <c r="AW34" i="43"/>
  <c r="AW46" i="43"/>
  <c r="AW58" i="43"/>
  <c r="AY27" i="43"/>
  <c r="AX17" i="43"/>
  <c r="AY68" i="43"/>
  <c r="AY17" i="43"/>
  <c r="AY29" i="43"/>
  <c r="AY53" i="43"/>
  <c r="AY64" i="43"/>
  <c r="AY11" i="43"/>
  <c r="AY14" i="43"/>
  <c r="AX26" i="43"/>
  <c r="AX38" i="43"/>
  <c r="AX50" i="43"/>
  <c r="AX67" i="43"/>
  <c r="AX34" i="43"/>
  <c r="AX22" i="43"/>
  <c r="AX19" i="43"/>
  <c r="AX68" i="43"/>
  <c r="AX65" i="43"/>
  <c r="AX62" i="43"/>
  <c r="AX59" i="43"/>
  <c r="AX56" i="43"/>
  <c r="AX53" i="43"/>
  <c r="AX31" i="43"/>
  <c r="AX25" i="43"/>
  <c r="AX16" i="43"/>
  <c r="AX64" i="43"/>
  <c r="AX61" i="43"/>
  <c r="AX58" i="43"/>
  <c r="AX55" i="43"/>
  <c r="AX52" i="43"/>
  <c r="AX49" i="43"/>
  <c r="AX46" i="43"/>
  <c r="AX43" i="43"/>
  <c r="AX40" i="43"/>
  <c r="AX37" i="43"/>
  <c r="AX28" i="43"/>
  <c r="AX27" i="43"/>
  <c r="AX51" i="43"/>
  <c r="AY47" i="43"/>
  <c r="AY18" i="43"/>
  <c r="AY26" i="43"/>
  <c r="AY30" i="43"/>
  <c r="AY38" i="43"/>
  <c r="AY50" i="43"/>
  <c r="AY62" i="43"/>
  <c r="AW28" i="42"/>
  <c r="BA40" i="42"/>
  <c r="AN40" i="42" s="1"/>
  <c r="L40" i="27" s="1"/>
  <c r="AW42" i="42"/>
  <c r="AW60" i="42"/>
  <c r="AW14" i="42"/>
  <c r="BA23" i="42"/>
  <c r="BA50" i="42"/>
  <c r="BA54" i="42"/>
  <c r="AN54" i="42" s="1"/>
  <c r="L54" i="27" s="1"/>
  <c r="AW57" i="42"/>
  <c r="AW9" i="42"/>
  <c r="BA20" i="42"/>
  <c r="BA34" i="42"/>
  <c r="AW53" i="42"/>
  <c r="BA63" i="42"/>
  <c r="AN63" i="42" s="1"/>
  <c r="L63" i="27" s="1"/>
  <c r="AW37" i="42"/>
  <c r="AW62" i="42"/>
  <c r="AW18" i="42"/>
  <c r="BA61" i="42"/>
  <c r="BA64" i="42"/>
  <c r="BA16" i="42"/>
  <c r="AW25" i="42"/>
  <c r="BA35" i="42"/>
  <c r="BA14" i="42"/>
  <c r="BA30" i="42"/>
  <c r="AW34" i="42"/>
  <c r="BA37" i="42"/>
  <c r="AW45" i="42"/>
  <c r="BA60" i="42"/>
  <c r="AN60" i="42" s="1"/>
  <c r="L60" i="27" s="1"/>
  <c r="BA10" i="42"/>
  <c r="BA28" i="42"/>
  <c r="AW52" i="42"/>
  <c r="BA62" i="42"/>
  <c r="AW13" i="42"/>
  <c r="BA25" i="42"/>
  <c r="AW26" i="42"/>
  <c r="AW27" i="42"/>
  <c r="AW48" i="42"/>
  <c r="AW36" i="42"/>
  <c r="AW41" i="42"/>
  <c r="AW66" i="42"/>
  <c r="BA13" i="42"/>
  <c r="AW30" i="42"/>
  <c r="BA9" i="42"/>
  <c r="AW31" i="42"/>
  <c r="AW39" i="42"/>
  <c r="BA43" i="42"/>
  <c r="BA24" i="42"/>
  <c r="AN24" i="42" s="1"/>
  <c r="L24" i="27" s="1"/>
  <c r="AW46" i="42"/>
  <c r="BA38" i="42"/>
  <c r="AW21" i="42"/>
  <c r="BA31" i="42"/>
  <c r="BA33" i="42"/>
  <c r="AW33" i="42"/>
  <c r="AW44" i="42"/>
  <c r="AW61" i="42"/>
  <c r="AW68" i="42"/>
  <c r="AW59" i="42"/>
  <c r="AW23" i="42"/>
  <c r="BA27" i="42"/>
  <c r="BA57" i="42"/>
  <c r="AW43" i="42"/>
  <c r="BA42" i="42"/>
  <c r="AW32" i="42"/>
  <c r="AW65" i="42"/>
  <c r="AW56" i="42"/>
  <c r="AW22" i="42"/>
  <c r="AW12" i="42"/>
  <c r="BA67" i="42"/>
  <c r="BA58" i="42"/>
  <c r="AW50" i="42"/>
  <c r="AW38" i="42"/>
  <c r="BA12" i="42"/>
  <c r="BC5" i="42"/>
  <c r="BA49" i="42"/>
  <c r="AW17" i="42"/>
  <c r="BA66" i="42"/>
  <c r="AW67" i="42"/>
  <c r="AW58" i="42"/>
  <c r="BA48" i="42"/>
  <c r="BA21" i="42"/>
  <c r="AW11" i="42"/>
  <c r="BA39" i="42"/>
  <c r="AW55" i="42"/>
  <c r="AW16" i="42"/>
  <c r="AW35" i="42"/>
  <c r="AW64" i="42"/>
  <c r="BA15" i="42"/>
  <c r="AN15" i="42" s="1"/>
  <c r="L15" i="27" s="1"/>
  <c r="BA22" i="42"/>
  <c r="BA36" i="42"/>
  <c r="BA44" i="42"/>
  <c r="AN44" i="42" s="1"/>
  <c r="L44" i="27" s="1"/>
  <c r="BA52" i="42"/>
  <c r="BA55" i="42"/>
  <c r="BA59" i="42"/>
  <c r="AW10" i="42"/>
  <c r="BA68" i="42"/>
  <c r="AW29" i="42"/>
  <c r="BA53" i="42"/>
  <c r="AW20" i="42"/>
  <c r="BA29" i="42"/>
  <c r="AW47" i="42"/>
  <c r="BA51" i="42"/>
  <c r="AW51" i="42"/>
  <c r="BA41" i="42"/>
  <c r="AY41" i="42"/>
  <c r="BA56" i="42"/>
  <c r="BA65" i="42"/>
  <c r="AP10" i="42"/>
  <c r="AS10" i="42" s="1"/>
  <c r="AY26" i="42"/>
  <c r="BA32" i="42"/>
  <c r="AY47" i="42"/>
  <c r="AX68" i="42"/>
  <c r="AX65" i="42"/>
  <c r="AX62" i="42"/>
  <c r="AX59" i="42"/>
  <c r="AX56" i="42"/>
  <c r="AX53" i="42"/>
  <c r="AX50" i="42"/>
  <c r="AX47" i="42"/>
  <c r="AX11" i="42"/>
  <c r="AX22" i="42"/>
  <c r="BA26" i="42"/>
  <c r="BA47" i="42"/>
  <c r="BA11" i="42"/>
  <c r="AX32" i="42"/>
  <c r="AY11" i="42"/>
  <c r="BA17" i="42"/>
  <c r="AX38" i="42"/>
  <c r="AY56" i="42"/>
  <c r="AY65" i="42"/>
  <c r="AY66" i="41"/>
  <c r="AY9" i="41"/>
  <c r="AX10" i="41"/>
  <c r="AX16" i="41"/>
  <c r="BA21" i="41"/>
  <c r="AX24" i="41"/>
  <c r="AX27" i="41"/>
  <c r="BA32" i="41"/>
  <c r="AY34" i="41"/>
  <c r="BA36" i="41"/>
  <c r="AX37" i="41"/>
  <c r="AY41" i="41"/>
  <c r="AX49" i="41"/>
  <c r="BA53" i="41"/>
  <c r="BA9" i="41"/>
  <c r="BA20" i="41"/>
  <c r="AX25" i="41"/>
  <c r="AY57" i="41"/>
  <c r="BA27" i="41"/>
  <c r="BA44" i="41"/>
  <c r="AX19" i="41"/>
  <c r="BA22" i="41"/>
  <c r="AY48" i="41"/>
  <c r="AX60" i="41"/>
  <c r="AX31" i="41"/>
  <c r="AY60" i="41"/>
  <c r="BA24" i="41"/>
  <c r="BA28" i="41"/>
  <c r="AY31" i="41"/>
  <c r="AY51" i="41"/>
  <c r="AX68" i="41"/>
  <c r="AX65" i="41"/>
  <c r="AX62" i="41"/>
  <c r="AX59" i="41"/>
  <c r="AX56" i="41"/>
  <c r="AX53" i="41"/>
  <c r="AX50" i="41"/>
  <c r="AX47" i="41"/>
  <c r="AX44" i="41"/>
  <c r="AX41" i="41"/>
  <c r="AX38" i="41"/>
  <c r="AX35" i="41"/>
  <c r="AX32" i="41"/>
  <c r="AX29" i="41"/>
  <c r="AX26" i="41"/>
  <c r="AX17" i="41"/>
  <c r="AX23" i="41"/>
  <c r="AX66" i="41"/>
  <c r="AX57" i="41"/>
  <c r="AX48" i="41"/>
  <c r="AX39" i="41"/>
  <c r="AX30" i="41"/>
  <c r="AX22" i="41"/>
  <c r="AX12" i="41"/>
  <c r="AX11" i="41"/>
  <c r="AX15" i="41"/>
  <c r="AX36" i="41"/>
  <c r="BA41" i="41"/>
  <c r="AX46" i="41"/>
  <c r="BA62" i="41"/>
  <c r="AX14" i="41"/>
  <c r="AY15" i="41"/>
  <c r="AX20" i="41"/>
  <c r="AY21" i="41"/>
  <c r="AX34" i="41"/>
  <c r="AY36" i="41"/>
  <c r="BA43" i="41"/>
  <c r="AN43" i="41" s="1"/>
  <c r="AY46" i="41"/>
  <c r="BA49" i="41"/>
  <c r="BA51" i="41"/>
  <c r="BA55" i="41"/>
  <c r="AY58" i="41"/>
  <c r="BA15" i="41"/>
  <c r="AY10" i="41"/>
  <c r="AY16" i="41"/>
  <c r="AY24" i="41"/>
  <c r="AY27" i="41"/>
  <c r="BA34" i="41"/>
  <c r="AY37" i="41"/>
  <c r="BA40" i="41"/>
  <c r="BA42" i="41"/>
  <c r="BA46" i="41"/>
  <c r="AY49" i="41"/>
  <c r="BA10" i="41"/>
  <c r="AY12" i="41"/>
  <c r="AY32" i="41"/>
  <c r="AX40" i="41"/>
  <c r="BA14" i="41"/>
  <c r="BA16" i="41"/>
  <c r="BA25" i="41"/>
  <c r="AY28" i="41"/>
  <c r="BA31" i="41"/>
  <c r="BA33" i="41"/>
  <c r="BA37" i="41"/>
  <c r="AY40" i="41"/>
  <c r="BA18" i="41"/>
  <c r="AY23" i="41"/>
  <c r="BA35" i="41"/>
  <c r="AX63" i="41"/>
  <c r="BA68" i="41"/>
  <c r="BA11" i="41"/>
  <c r="BA13" i="41"/>
  <c r="AY14" i="41"/>
  <c r="AX18" i="41"/>
  <c r="AY39" i="41"/>
  <c r="AX51" i="41"/>
  <c r="AY63" i="41"/>
  <c r="AX9" i="41"/>
  <c r="AX13" i="41"/>
  <c r="AY18" i="41"/>
  <c r="BA26" i="41"/>
  <c r="AX54" i="41"/>
  <c r="BA59" i="41"/>
  <c r="BA63" i="41"/>
  <c r="AX64" i="41"/>
  <c r="AY13" i="41"/>
  <c r="AX42" i="41"/>
  <c r="BA61" i="41"/>
  <c r="AN61" i="41" s="1"/>
  <c r="AY64" i="41"/>
  <c r="AW25" i="41"/>
  <c r="AW33" i="41"/>
  <c r="AY42" i="41"/>
  <c r="AX45" i="41"/>
  <c r="AW48" i="41"/>
  <c r="BA50" i="41"/>
  <c r="AW53" i="41"/>
  <c r="AX55" i="41"/>
  <c r="AY59" i="41"/>
  <c r="AX67" i="41"/>
  <c r="BA19" i="41"/>
  <c r="AX21" i="41"/>
  <c r="BA45" i="41"/>
  <c r="AX58" i="41"/>
  <c r="AY68" i="41"/>
  <c r="AY30" i="41"/>
  <c r="AY54" i="41"/>
  <c r="BA67" i="41"/>
  <c r="AW68" i="41"/>
  <c r="AW59" i="41"/>
  <c r="AW50" i="41"/>
  <c r="AW41" i="41"/>
  <c r="AW32" i="41"/>
  <c r="AW23" i="41"/>
  <c r="BA57" i="41"/>
  <c r="BA48" i="41"/>
  <c r="BA30" i="41"/>
  <c r="AW13" i="41"/>
  <c r="BA12" i="41"/>
  <c r="BC5" i="41"/>
  <c r="AW67" i="41"/>
  <c r="AW58" i="41"/>
  <c r="AW56" i="41"/>
  <c r="AW31" i="41"/>
  <c r="AW29" i="41"/>
  <c r="BA66" i="41"/>
  <c r="BA39" i="41"/>
  <c r="AW65" i="41"/>
  <c r="AW49" i="41"/>
  <c r="AW47" i="41"/>
  <c r="AW40" i="41"/>
  <c r="AW38" i="41"/>
  <c r="AR10" i="41"/>
  <c r="AT10" i="41" s="1"/>
  <c r="AW21" i="41"/>
  <c r="AX33" i="41"/>
  <c r="AW36" i="41"/>
  <c r="AY45" i="41"/>
  <c r="AW46" i="41"/>
  <c r="BA52" i="41"/>
  <c r="AN52" i="41" s="1"/>
  <c r="AY55" i="41"/>
  <c r="BA58" i="41"/>
  <c r="BA60" i="41"/>
  <c r="BA64" i="41"/>
  <c r="AY67" i="41"/>
  <c r="AY20" i="41"/>
  <c r="AY35" i="41"/>
  <c r="AY44" i="41"/>
  <c r="AY62" i="41"/>
  <c r="AY11" i="41"/>
  <c r="BA29" i="41"/>
  <c r="BA47" i="41"/>
  <c r="BA56" i="41"/>
  <c r="AY26" i="41"/>
  <c r="AY53" i="41"/>
  <c r="AP10" i="41"/>
  <c r="AS10" i="41" s="1"/>
  <c r="BA17" i="41"/>
  <c r="BA38" i="41"/>
  <c r="BA65" i="41"/>
  <c r="AY17" i="41"/>
  <c r="BA23" i="41"/>
  <c r="AY29" i="41"/>
  <c r="AY38" i="41"/>
  <c r="AY47" i="41"/>
  <c r="AY56" i="41"/>
  <c r="AY65" i="41"/>
  <c r="BA32" i="40"/>
  <c r="AW32" i="40"/>
  <c r="AX68" i="40"/>
  <c r="AX50" i="40"/>
  <c r="AX11" i="40"/>
  <c r="AX32" i="40"/>
  <c r="AX26" i="40"/>
  <c r="AX65" i="40"/>
  <c r="AX47" i="40"/>
  <c r="BA25" i="40"/>
  <c r="BA63" i="40"/>
  <c r="BA45" i="40"/>
  <c r="AX25" i="40"/>
  <c r="AX20" i="40"/>
  <c r="AX15" i="40"/>
  <c r="BA61" i="40"/>
  <c r="AX44" i="40"/>
  <c r="BA43" i="40"/>
  <c r="AX30" i="40"/>
  <c r="BA19" i="40"/>
  <c r="AX63" i="40"/>
  <c r="BA60" i="40"/>
  <c r="AX45" i="40"/>
  <c r="BA42" i="40"/>
  <c r="AX59" i="40"/>
  <c r="AX62" i="40"/>
  <c r="AX19" i="40"/>
  <c r="AX9" i="40"/>
  <c r="BA58" i="40"/>
  <c r="BA40" i="40"/>
  <c r="AX14" i="40"/>
  <c r="AX41" i="40"/>
  <c r="AX22" i="40"/>
  <c r="AX39" i="40"/>
  <c r="BA66" i="40"/>
  <c r="AW66" i="40"/>
  <c r="AY23" i="40"/>
  <c r="AX38" i="40"/>
  <c r="AY39" i="40"/>
  <c r="AY54" i="40"/>
  <c r="BA55" i="40"/>
  <c r="AX66" i="40"/>
  <c r="AY16" i="40"/>
  <c r="BA48" i="40"/>
  <c r="AW48" i="40"/>
  <c r="BA54" i="40"/>
  <c r="AY66" i="40"/>
  <c r="BA21" i="40"/>
  <c r="AN21" i="40" s="1"/>
  <c r="BA26" i="40"/>
  <c r="AW26" i="40"/>
  <c r="AY36" i="40"/>
  <c r="BA11" i="40"/>
  <c r="AW11" i="40"/>
  <c r="BA36" i="40"/>
  <c r="AX18" i="40"/>
  <c r="AY26" i="40"/>
  <c r="AX35" i="40"/>
  <c r="BA47" i="40"/>
  <c r="AY51" i="40"/>
  <c r="AY25" i="40"/>
  <c r="AX33" i="40"/>
  <c r="AY68" i="40"/>
  <c r="AY15" i="40"/>
  <c r="AX53" i="40"/>
  <c r="BA65" i="40"/>
  <c r="AX17" i="40"/>
  <c r="BA23" i="40"/>
  <c r="BA24" i="40"/>
  <c r="AY65" i="40"/>
  <c r="BA9" i="40"/>
  <c r="BA10" i="40"/>
  <c r="AX10" i="40"/>
  <c r="BA18" i="40"/>
  <c r="AY33" i="40"/>
  <c r="AY47" i="40"/>
  <c r="BA50" i="40"/>
  <c r="AX64" i="40"/>
  <c r="BA64" i="40"/>
  <c r="AX46" i="40"/>
  <c r="BA46" i="40"/>
  <c r="AX23" i="40"/>
  <c r="BA30" i="40"/>
  <c r="AX54" i="40"/>
  <c r="BA57" i="40"/>
  <c r="AN57" i="40" s="1"/>
  <c r="AY30" i="40"/>
  <c r="AY9" i="40"/>
  <c r="AY14" i="40"/>
  <c r="AY29" i="40"/>
  <c r="AY24" i="40"/>
  <c r="AY42" i="40"/>
  <c r="AY60" i="40"/>
  <c r="BA15" i="40"/>
  <c r="AX16" i="40"/>
  <c r="BA22" i="40"/>
  <c r="AX24" i="40"/>
  <c r="AX31" i="40"/>
  <c r="BA31" i="40"/>
  <c r="AX52" i="40"/>
  <c r="AY31" i="40"/>
  <c r="AX36" i="40"/>
  <c r="BA39" i="40"/>
  <c r="AY44" i="40"/>
  <c r="AW17" i="40"/>
  <c r="AX34" i="40"/>
  <c r="BA37" i="40"/>
  <c r="AX48" i="40"/>
  <c r="AY34" i="40"/>
  <c r="AY48" i="40"/>
  <c r="AX51" i="40"/>
  <c r="BA68" i="40"/>
  <c r="AY10" i="40"/>
  <c r="AY22" i="40"/>
  <c r="AX28" i="40"/>
  <c r="BA34" i="40"/>
  <c r="AX60" i="40"/>
  <c r="AY64" i="40"/>
  <c r="AY52" i="40"/>
  <c r="AX37" i="40"/>
  <c r="AX55" i="40"/>
  <c r="AY28" i="40"/>
  <c r="AY59" i="40"/>
  <c r="AX61" i="40"/>
  <c r="BA62" i="40"/>
  <c r="AW67" i="40"/>
  <c r="AY35" i="40"/>
  <c r="BA38" i="40"/>
  <c r="AY53" i="40"/>
  <c r="BA56" i="40"/>
  <c r="BA29" i="40"/>
  <c r="AY37" i="40"/>
  <c r="AY55" i="40"/>
  <c r="AY13" i="40"/>
  <c r="BA14" i="40"/>
  <c r="AY38" i="40"/>
  <c r="AX40" i="40"/>
  <c r="BA41" i="40"/>
  <c r="AY56" i="40"/>
  <c r="AX58" i="40"/>
  <c r="BA59" i="40"/>
  <c r="AY40" i="40"/>
  <c r="AY58" i="40"/>
  <c r="AY19" i="40"/>
  <c r="BA20" i="40"/>
  <c r="AY41" i="40"/>
  <c r="AX43" i="40"/>
  <c r="BA44" i="40"/>
  <c r="BC5" i="40"/>
  <c r="AY43" i="40"/>
  <c r="BA49" i="40"/>
  <c r="AN49" i="40" s="1"/>
  <c r="AY61" i="40"/>
  <c r="BA67" i="40"/>
  <c r="BA38" i="39"/>
  <c r="BA56" i="39"/>
  <c r="BA20" i="39"/>
  <c r="BA29" i="39"/>
  <c r="BA47" i="39"/>
  <c r="AR9" i="39"/>
  <c r="AT9" i="39" s="1"/>
  <c r="AP9" i="39"/>
  <c r="AS9" i="39" s="1"/>
  <c r="AW13" i="39"/>
  <c r="AW19" i="39"/>
  <c r="AW37" i="39"/>
  <c r="AW49" i="39"/>
  <c r="AW67" i="39"/>
  <c r="AW25" i="39"/>
  <c r="AW43" i="39"/>
  <c r="BC5" i="39"/>
  <c r="AY10" i="39"/>
  <c r="AY13" i="39"/>
  <c r="AY16" i="39"/>
  <c r="AY19" i="39"/>
  <c r="AY22" i="39"/>
  <c r="AY25" i="39"/>
  <c r="AY28" i="39"/>
  <c r="AY31" i="39"/>
  <c r="AY34" i="39"/>
  <c r="AY37" i="39"/>
  <c r="AY40" i="39"/>
  <c r="AY43" i="39"/>
  <c r="AY46" i="39"/>
  <c r="AY49" i="39"/>
  <c r="AY52" i="39"/>
  <c r="AY55" i="39"/>
  <c r="AY58" i="39"/>
  <c r="AY61" i="39"/>
  <c r="AY64" i="39"/>
  <c r="AW28" i="39"/>
  <c r="AW52" i="39"/>
  <c r="BA10" i="39"/>
  <c r="BA13" i="39"/>
  <c r="BA16" i="39"/>
  <c r="BA19" i="39"/>
  <c r="BA22" i="39"/>
  <c r="BA25" i="39"/>
  <c r="BA28" i="39"/>
  <c r="BA31" i="39"/>
  <c r="BA34" i="39"/>
  <c r="BA37" i="39"/>
  <c r="BA40" i="39"/>
  <c r="BA43" i="39"/>
  <c r="BA46" i="39"/>
  <c r="BA49" i="39"/>
  <c r="BA52" i="39"/>
  <c r="BA55" i="39"/>
  <c r="BA58" i="39"/>
  <c r="BA61" i="39"/>
  <c r="BA64" i="39"/>
  <c r="BA67" i="39"/>
  <c r="AW11" i="39"/>
  <c r="AW14" i="39"/>
  <c r="AW17" i="39"/>
  <c r="AW20" i="39"/>
  <c r="AW23" i="39"/>
  <c r="AW26" i="39"/>
  <c r="AW29" i="39"/>
  <c r="AW32" i="39"/>
  <c r="AW35" i="39"/>
  <c r="AW38" i="39"/>
  <c r="AW41" i="39"/>
  <c r="AW44" i="39"/>
  <c r="AW47" i="39"/>
  <c r="AW50" i="39"/>
  <c r="AW53" i="39"/>
  <c r="AW56" i="39"/>
  <c r="AW59" i="39"/>
  <c r="AW62" i="39"/>
  <c r="AW65" i="39"/>
  <c r="AW68" i="39"/>
  <c r="AW10" i="39"/>
  <c r="AW22" i="39"/>
  <c r="AW40" i="39"/>
  <c r="AX11" i="39"/>
  <c r="AX14" i="39"/>
  <c r="AX17" i="39"/>
  <c r="AX20" i="39"/>
  <c r="AX23" i="39"/>
  <c r="AX26" i="39"/>
  <c r="AX29" i="39"/>
  <c r="AX32" i="39"/>
  <c r="AX35" i="39"/>
  <c r="AX38" i="39"/>
  <c r="AX41" i="39"/>
  <c r="AX44" i="39"/>
  <c r="AX47" i="39"/>
  <c r="AX50" i="39"/>
  <c r="AX53" i="39"/>
  <c r="AX56" i="39"/>
  <c r="AX59" i="39"/>
  <c r="AW34" i="39"/>
  <c r="AW46" i="39"/>
  <c r="AW55" i="39"/>
  <c r="AW61" i="39"/>
  <c r="AW16" i="39"/>
  <c r="AW31" i="39"/>
  <c r="AW58" i="39"/>
  <c r="AP10" i="38"/>
  <c r="AS10" i="38" s="1"/>
  <c r="AR9" i="38"/>
  <c r="AT9" i="38" s="1"/>
  <c r="AP9" i="38"/>
  <c r="AS9" i="38" s="1"/>
  <c r="BA38" i="38"/>
  <c r="BA62" i="38"/>
  <c r="AW10" i="38"/>
  <c r="AW13" i="38"/>
  <c r="AW16" i="38"/>
  <c r="AW19" i="38"/>
  <c r="AW22" i="38"/>
  <c r="AW25" i="38"/>
  <c r="AW28" i="38"/>
  <c r="AW31" i="38"/>
  <c r="AW34" i="38"/>
  <c r="AW37" i="38"/>
  <c r="AW40" i="38"/>
  <c r="AW43" i="38"/>
  <c r="AW46" i="38"/>
  <c r="AW49" i="38"/>
  <c r="AW52" i="38"/>
  <c r="AW55" i="38"/>
  <c r="AW58" i="38"/>
  <c r="AW61" i="38"/>
  <c r="AW64" i="38"/>
  <c r="AW67" i="38"/>
  <c r="BC5" i="38"/>
  <c r="AY10" i="38"/>
  <c r="AY13" i="38"/>
  <c r="AY16" i="38"/>
  <c r="AY19" i="38"/>
  <c r="AY22" i="38"/>
  <c r="AY25" i="38"/>
  <c r="AY28" i="38"/>
  <c r="AY31" i="38"/>
  <c r="AY34" i="38"/>
  <c r="AY37" i="38"/>
  <c r="AY40" i="38"/>
  <c r="AY43" i="38"/>
  <c r="AY46" i="38"/>
  <c r="AY49" i="38"/>
  <c r="AY52" i="38"/>
  <c r="AY55" i="38"/>
  <c r="AY58" i="38"/>
  <c r="BA10" i="38"/>
  <c r="BA13" i="38"/>
  <c r="BA16" i="38"/>
  <c r="BA19" i="38"/>
  <c r="BA22" i="38"/>
  <c r="BA25" i="38"/>
  <c r="BA28" i="38"/>
  <c r="BA31" i="38"/>
  <c r="BA34" i="38"/>
  <c r="BA37" i="38"/>
  <c r="BA40" i="38"/>
  <c r="BA43" i="38"/>
  <c r="BA46" i="38"/>
  <c r="BA49" i="38"/>
  <c r="BA52" i="38"/>
  <c r="BA55" i="38"/>
  <c r="BA58" i="38"/>
  <c r="BA61" i="38"/>
  <c r="BA64" i="38"/>
  <c r="AW41" i="38"/>
  <c r="AW44" i="38"/>
  <c r="AW47" i="38"/>
  <c r="AW50" i="38"/>
  <c r="AW53" i="38"/>
  <c r="AW56" i="38"/>
  <c r="AW59" i="38"/>
  <c r="AW62" i="38"/>
  <c r="AW65" i="38"/>
  <c r="AW68" i="38"/>
  <c r="AX26" i="38"/>
  <c r="AX29" i="38"/>
  <c r="AX32" i="38"/>
  <c r="AX35" i="38"/>
  <c r="AX38" i="38"/>
  <c r="AX41" i="38"/>
  <c r="AX44" i="38"/>
  <c r="AX47" i="38"/>
  <c r="AX50" i="38"/>
  <c r="AX53" i="38"/>
  <c r="BA11" i="38"/>
  <c r="AN11" i="38" s="1"/>
  <c r="BA14" i="38"/>
  <c r="AN14" i="38" s="1"/>
  <c r="BA17" i="38"/>
  <c r="AN17" i="38" s="1"/>
  <c r="BA20" i="38"/>
  <c r="AN20" i="38" s="1"/>
  <c r="BA23" i="38"/>
  <c r="AN23" i="38" s="1"/>
  <c r="BA26" i="38"/>
  <c r="BA29" i="38"/>
  <c r="BA32" i="38"/>
  <c r="BA35" i="38"/>
  <c r="AY26" i="37"/>
  <c r="AY44" i="37"/>
  <c r="AX19" i="37"/>
  <c r="AY16" i="37"/>
  <c r="BA19" i="37"/>
  <c r="BA9" i="37"/>
  <c r="AX12" i="37"/>
  <c r="AX22" i="37"/>
  <c r="AX24" i="37"/>
  <c r="AX39" i="37"/>
  <c r="BA60" i="37"/>
  <c r="BA10" i="37"/>
  <c r="AY12" i="37"/>
  <c r="AY19" i="37"/>
  <c r="AY24" i="37"/>
  <c r="BA57" i="37"/>
  <c r="AW58" i="37"/>
  <c r="BA65" i="37"/>
  <c r="AY67" i="37"/>
  <c r="AY68" i="37"/>
  <c r="AX68" i="37"/>
  <c r="AX65" i="37"/>
  <c r="AX62" i="37"/>
  <c r="AX59" i="37"/>
  <c r="AX56" i="37"/>
  <c r="AX53" i="37"/>
  <c r="AX50" i="37"/>
  <c r="AX47" i="37"/>
  <c r="AX44" i="37"/>
  <c r="AX41" i="37"/>
  <c r="AX38" i="37"/>
  <c r="AX35" i="37"/>
  <c r="AX32" i="37"/>
  <c r="AX29" i="37"/>
  <c r="AX26" i="37"/>
  <c r="AX23" i="37"/>
  <c r="AX20" i="37"/>
  <c r="AX17" i="37"/>
  <c r="AX14" i="37"/>
  <c r="AX11" i="37"/>
  <c r="AY29" i="37"/>
  <c r="AY35" i="37"/>
  <c r="AY41" i="37"/>
  <c r="AY53" i="37"/>
  <c r="BA66" i="37"/>
  <c r="AN66" i="37" s="1"/>
  <c r="G66" i="27" s="1"/>
  <c r="AY14" i="37"/>
  <c r="AY21" i="37"/>
  <c r="AX60" i="37"/>
  <c r="AY9" i="37"/>
  <c r="AY60" i="37"/>
  <c r="AX30" i="37"/>
  <c r="AX36" i="37"/>
  <c r="AX45" i="37"/>
  <c r="AX67" i="37"/>
  <c r="BA24" i="37"/>
  <c r="BA27" i="37"/>
  <c r="BA30" i="37"/>
  <c r="BA33" i="37"/>
  <c r="BA36" i="37"/>
  <c r="BA39" i="37"/>
  <c r="BA42" i="37"/>
  <c r="BA45" i="37"/>
  <c r="BA48" i="37"/>
  <c r="BA54" i="37"/>
  <c r="BA58" i="37"/>
  <c r="AX64" i="37"/>
  <c r="AY20" i="37"/>
  <c r="BA25" i="37"/>
  <c r="BA28" i="37"/>
  <c r="BA31" i="37"/>
  <c r="BA34" i="37"/>
  <c r="BA37" i="37"/>
  <c r="BA40" i="37"/>
  <c r="BA43" i="37"/>
  <c r="BA46" i="37"/>
  <c r="BA49" i="37"/>
  <c r="BA52" i="37"/>
  <c r="BA55" i="37"/>
  <c r="BA62" i="37"/>
  <c r="AY64" i="37"/>
  <c r="AY65" i="37"/>
  <c r="AY38" i="37"/>
  <c r="AX21" i="37"/>
  <c r="BA64" i="37"/>
  <c r="BA13" i="37"/>
  <c r="AN13" i="37" s="1"/>
  <c r="G13" i="27" s="1"/>
  <c r="AY22" i="37"/>
  <c r="AX61" i="37"/>
  <c r="BA16" i="37"/>
  <c r="BA18" i="37"/>
  <c r="AN18" i="37" s="1"/>
  <c r="G18" i="27" s="1"/>
  <c r="AY32" i="37"/>
  <c r="AY47" i="37"/>
  <c r="AY50" i="37"/>
  <c r="AY56" i="37"/>
  <c r="AX63" i="37"/>
  <c r="BA67" i="37"/>
  <c r="AY63" i="37"/>
  <c r="AX9" i="37"/>
  <c r="BA63" i="37"/>
  <c r="BA21" i="37"/>
  <c r="BA68" i="37"/>
  <c r="AX10" i="37"/>
  <c r="AY17" i="37"/>
  <c r="AX27" i="37"/>
  <c r="AX54" i="37"/>
  <c r="BA61" i="37"/>
  <c r="BA12" i="37"/>
  <c r="AW15" i="37"/>
  <c r="BA51" i="37"/>
  <c r="AY10" i="37"/>
  <c r="AX58" i="37"/>
  <c r="AY61" i="37"/>
  <c r="AY62" i="37"/>
  <c r="AX57" i="37"/>
  <c r="AX33" i="37"/>
  <c r="AX42" i="37"/>
  <c r="AX48" i="37"/>
  <c r="AX51" i="37"/>
  <c r="BA59" i="37"/>
  <c r="BA56" i="37"/>
  <c r="BA53" i="37"/>
  <c r="BA50" i="37"/>
  <c r="BA47" i="37"/>
  <c r="BA44" i="37"/>
  <c r="BA41" i="37"/>
  <c r="BA38" i="37"/>
  <c r="BA35" i="37"/>
  <c r="BA32" i="37"/>
  <c r="BA29" i="37"/>
  <c r="BA26" i="37"/>
  <c r="BA23" i="37"/>
  <c r="BA20" i="37"/>
  <c r="BA17" i="37"/>
  <c r="BA14" i="37"/>
  <c r="BA11" i="37"/>
  <c r="AW65" i="37"/>
  <c r="AW62" i="37"/>
  <c r="AW59" i="37"/>
  <c r="AW56" i="37"/>
  <c r="AW68" i="37"/>
  <c r="BC5" i="37"/>
  <c r="AY11" i="37"/>
  <c r="AY23" i="37"/>
  <c r="AX25" i="37"/>
  <c r="AX28" i="37"/>
  <c r="AX31" i="37"/>
  <c r="AX34" i="37"/>
  <c r="AX37" i="37"/>
  <c r="AX40" i="37"/>
  <c r="AX43" i="37"/>
  <c r="AX46" i="37"/>
  <c r="AX49" i="37"/>
  <c r="AX52" i="37"/>
  <c r="AX55" i="37"/>
  <c r="AY58" i="37"/>
  <c r="BA51" i="36"/>
  <c r="AW51" i="36"/>
  <c r="AW65" i="36"/>
  <c r="AW56" i="36"/>
  <c r="AW53" i="36"/>
  <c r="AW50" i="36"/>
  <c r="AW47" i="36"/>
  <c r="AW38" i="36"/>
  <c r="AW23" i="36"/>
  <c r="AW20" i="36"/>
  <c r="AW17" i="36"/>
  <c r="AW68" i="36"/>
  <c r="AW62" i="36"/>
  <c r="AW59" i="36"/>
  <c r="AW44" i="36"/>
  <c r="AW41" i="36"/>
  <c r="AW35" i="36"/>
  <c r="AW32" i="36"/>
  <c r="AW29" i="36"/>
  <c r="AW26" i="36"/>
  <c r="AW14" i="36"/>
  <c r="AW11" i="36"/>
  <c r="BA33" i="36"/>
  <c r="AW34" i="36"/>
  <c r="BA31" i="36"/>
  <c r="BA34" i="36"/>
  <c r="BA22" i="36"/>
  <c r="BA10" i="36"/>
  <c r="BA21" i="36"/>
  <c r="BA19" i="36"/>
  <c r="AW10" i="36"/>
  <c r="AW33" i="36"/>
  <c r="BA9" i="36"/>
  <c r="AW22" i="36"/>
  <c r="BA35" i="36"/>
  <c r="BA48" i="36"/>
  <c r="AW48" i="36"/>
  <c r="AY19" i="36"/>
  <c r="AY34" i="36"/>
  <c r="AY22" i="36"/>
  <c r="AY10" i="36"/>
  <c r="AY31" i="36"/>
  <c r="BA13" i="36"/>
  <c r="AW27" i="36"/>
  <c r="BA63" i="36"/>
  <c r="AW63" i="36"/>
  <c r="AW9" i="36"/>
  <c r="AW21" i="36"/>
  <c r="BA37" i="36"/>
  <c r="AW37" i="36"/>
  <c r="BA68" i="36"/>
  <c r="BA14" i="36"/>
  <c r="BA26" i="36"/>
  <c r="AX34" i="36"/>
  <c r="BA60" i="36"/>
  <c r="AW60" i="36"/>
  <c r="AY61" i="36"/>
  <c r="AY11" i="36"/>
  <c r="AX18" i="36"/>
  <c r="AY23" i="36"/>
  <c r="AX42" i="36"/>
  <c r="BA47" i="36"/>
  <c r="BA52" i="36"/>
  <c r="AW52" i="36"/>
  <c r="AX60" i="36"/>
  <c r="BA65" i="36"/>
  <c r="BA54" i="36"/>
  <c r="AW54" i="36"/>
  <c r="BA46" i="36"/>
  <c r="AW46" i="36"/>
  <c r="BA12" i="36"/>
  <c r="AW12" i="36"/>
  <c r="BA38" i="36"/>
  <c r="BA43" i="36"/>
  <c r="AW43" i="36"/>
  <c r="AX68" i="36"/>
  <c r="AX65" i="36"/>
  <c r="AX62" i="36"/>
  <c r="AX59" i="36"/>
  <c r="AX56" i="36"/>
  <c r="AX53" i="36"/>
  <c r="AX50" i="36"/>
  <c r="AX47" i="36"/>
  <c r="AX44" i="36"/>
  <c r="AX41" i="36"/>
  <c r="AX38" i="36"/>
  <c r="AX35" i="36"/>
  <c r="AX32" i="36"/>
  <c r="AX29" i="36"/>
  <c r="AX26" i="36"/>
  <c r="AX23" i="36"/>
  <c r="AX20" i="36"/>
  <c r="AX17" i="36"/>
  <c r="AX14" i="36"/>
  <c r="AX11" i="36"/>
  <c r="AX67" i="36"/>
  <c r="AX64" i="36"/>
  <c r="AX61" i="36"/>
  <c r="AX58" i="36"/>
  <c r="AX55" i="36"/>
  <c r="AX52" i="36"/>
  <c r="AX49" i="36"/>
  <c r="AX46" i="36"/>
  <c r="AX43" i="36"/>
  <c r="AX40" i="36"/>
  <c r="AX21" i="36"/>
  <c r="AX31" i="36"/>
  <c r="AX9" i="36"/>
  <c r="AX33" i="36"/>
  <c r="AX12" i="36"/>
  <c r="BA66" i="36"/>
  <c r="AW66" i="36"/>
  <c r="AY12" i="36"/>
  <c r="BA25" i="36"/>
  <c r="AX66" i="36"/>
  <c r="AY48" i="36"/>
  <c r="AY66" i="36"/>
  <c r="BA23" i="36"/>
  <c r="AX63" i="36"/>
  <c r="AW30" i="36"/>
  <c r="AX37" i="36"/>
  <c r="BA42" i="36"/>
  <c r="AW42" i="36"/>
  <c r="AY43" i="36"/>
  <c r="AY45" i="36"/>
  <c r="AY63" i="36"/>
  <c r="AX16" i="36"/>
  <c r="AY18" i="36"/>
  <c r="AW19" i="36"/>
  <c r="AX28" i="36"/>
  <c r="AY30" i="36"/>
  <c r="AW31" i="36"/>
  <c r="BA39" i="36"/>
  <c r="AW39" i="36"/>
  <c r="AY40" i="36"/>
  <c r="AY42" i="36"/>
  <c r="BA57" i="36"/>
  <c r="AW57" i="36"/>
  <c r="AY58" i="36"/>
  <c r="AY60" i="36"/>
  <c r="BA64" i="36"/>
  <c r="AW64" i="36"/>
  <c r="BA24" i="36"/>
  <c r="AW24" i="36"/>
  <c r="BA56" i="36"/>
  <c r="BA61" i="36"/>
  <c r="AW61" i="36"/>
  <c r="AX24" i="36"/>
  <c r="AW15" i="36"/>
  <c r="AY24" i="36"/>
  <c r="AY35" i="36"/>
  <c r="BA40" i="36"/>
  <c r="AW40" i="36"/>
  <c r="AX48" i="36"/>
  <c r="BA53" i="36"/>
  <c r="BA58" i="36"/>
  <c r="AW58" i="36"/>
  <c r="BC5" i="36"/>
  <c r="BA45" i="36"/>
  <c r="AW45" i="36"/>
  <c r="AY46" i="36"/>
  <c r="AY64" i="36"/>
  <c r="BA11" i="36"/>
  <c r="AX45" i="36"/>
  <c r="BA50" i="36"/>
  <c r="BA55" i="36"/>
  <c r="AW55" i="36"/>
  <c r="AW18" i="36"/>
  <c r="AX10" i="36"/>
  <c r="AW13" i="36"/>
  <c r="AY15" i="36"/>
  <c r="AY16" i="36"/>
  <c r="BA18" i="36"/>
  <c r="AX19" i="36"/>
  <c r="AX22" i="36"/>
  <c r="AW25" i="36"/>
  <c r="AY27" i="36"/>
  <c r="AY28" i="36"/>
  <c r="BA30" i="36"/>
  <c r="BA36" i="36"/>
  <c r="AW36" i="36"/>
  <c r="AX39" i="36"/>
  <c r="BA44" i="36"/>
  <c r="BA49" i="36"/>
  <c r="AW49" i="36"/>
  <c r="AX57" i="36"/>
  <c r="BA62" i="36"/>
  <c r="BA67" i="36"/>
  <c r="AW67" i="36"/>
  <c r="AY38" i="36"/>
  <c r="AY41" i="36"/>
  <c r="AY53" i="36"/>
  <c r="AY62" i="36"/>
  <c r="AY14" i="36"/>
  <c r="AY26" i="36"/>
  <c r="BA17" i="36"/>
  <c r="AY17" i="36"/>
  <c r="AY29" i="36"/>
  <c r="AY44" i="36"/>
  <c r="AY59" i="36"/>
  <c r="AY68" i="36"/>
  <c r="BA20" i="36"/>
  <c r="BA32" i="36"/>
  <c r="AY47" i="36"/>
  <c r="AY50" i="36"/>
  <c r="AY56" i="36"/>
  <c r="AY65" i="36"/>
  <c r="BA29" i="36"/>
  <c r="BA17" i="35"/>
  <c r="BA54" i="35"/>
  <c r="AW54" i="35"/>
  <c r="BA51" i="35"/>
  <c r="BA25" i="35"/>
  <c r="AW57" i="35"/>
  <c r="AX18" i="35"/>
  <c r="BA50" i="35"/>
  <c r="AY63" i="35"/>
  <c r="AX11" i="35"/>
  <c r="BA21" i="35"/>
  <c r="AW21" i="35"/>
  <c r="AY44" i="35"/>
  <c r="AW45" i="35"/>
  <c r="AY57" i="35"/>
  <c r="AW58" i="35"/>
  <c r="AY60" i="35"/>
  <c r="BA30" i="35"/>
  <c r="BA18" i="35"/>
  <c r="AW18" i="35"/>
  <c r="AW60" i="35"/>
  <c r="AY64" i="35"/>
  <c r="AY61" i="35"/>
  <c r="AY58" i="35"/>
  <c r="AY40" i="35"/>
  <c r="AY37" i="35"/>
  <c r="AY31" i="35"/>
  <c r="AY28" i="35"/>
  <c r="AY25" i="35"/>
  <c r="AY22" i="35"/>
  <c r="AY19" i="35"/>
  <c r="AY16" i="35"/>
  <c r="AY55" i="35"/>
  <c r="AY52" i="35"/>
  <c r="AY49" i="35"/>
  <c r="AY46" i="35"/>
  <c r="AY43" i="35"/>
  <c r="AY34" i="35"/>
  <c r="AY13" i="35"/>
  <c r="AY10" i="35"/>
  <c r="AY67" i="35"/>
  <c r="AY54" i="35"/>
  <c r="BA29" i="35"/>
  <c r="AY35" i="35"/>
  <c r="AX57" i="35"/>
  <c r="AY11" i="35"/>
  <c r="AX14" i="35"/>
  <c r="AY27" i="35"/>
  <c r="AW28" i="35"/>
  <c r="AX47" i="35"/>
  <c r="BA9" i="35"/>
  <c r="AW9" i="35"/>
  <c r="AW65" i="35"/>
  <c r="AW62" i="35"/>
  <c r="AW59" i="35"/>
  <c r="AW56" i="35"/>
  <c r="AW53" i="35"/>
  <c r="AW50" i="35"/>
  <c r="AW47" i="35"/>
  <c r="AW44" i="35"/>
  <c r="AW41" i="35"/>
  <c r="AW38" i="35"/>
  <c r="AW35" i="35"/>
  <c r="AW32" i="35"/>
  <c r="AW29" i="35"/>
  <c r="AW26" i="35"/>
  <c r="AW23" i="35"/>
  <c r="AW20" i="35"/>
  <c r="AW17" i="35"/>
  <c r="AW14" i="35"/>
  <c r="AW11" i="35"/>
  <c r="BC5" i="35"/>
  <c r="AW55" i="35"/>
  <c r="BA53" i="35"/>
  <c r="BA23" i="35"/>
  <c r="AW22" i="35"/>
  <c r="AW51" i="35"/>
  <c r="BA20" i="35"/>
  <c r="AW19" i="35"/>
  <c r="BA14" i="35"/>
  <c r="AW13" i="35"/>
  <c r="AW43" i="35"/>
  <c r="AW46" i="35"/>
  <c r="BA45" i="35"/>
  <c r="BA44" i="35"/>
  <c r="BA41" i="35"/>
  <c r="AW40" i="35"/>
  <c r="BA39" i="35"/>
  <c r="AN39" i="35" s="1"/>
  <c r="E39" i="27" s="1"/>
  <c r="BA38" i="35"/>
  <c r="AW37" i="35"/>
  <c r="BA36" i="35"/>
  <c r="BA66" i="35"/>
  <c r="AN66" i="35" s="1"/>
  <c r="E66" i="27" s="1"/>
  <c r="AW49" i="35"/>
  <c r="BA48" i="35"/>
  <c r="BA47" i="35"/>
  <c r="AW42" i="35"/>
  <c r="AW61" i="35"/>
  <c r="BA59" i="35"/>
  <c r="BA11" i="35"/>
  <c r="AW10" i="35"/>
  <c r="BA42" i="35"/>
  <c r="AW64" i="35"/>
  <c r="BA63" i="35"/>
  <c r="BA62" i="35"/>
  <c r="AW67" i="35"/>
  <c r="BA65" i="35"/>
  <c r="AX64" i="35"/>
  <c r="AX61" i="35"/>
  <c r="AX58" i="35"/>
  <c r="AX55" i="35"/>
  <c r="AX49" i="35"/>
  <c r="AX46" i="35"/>
  <c r="AX67" i="35"/>
  <c r="AX52" i="35"/>
  <c r="AX19" i="35"/>
  <c r="AX16" i="35"/>
  <c r="AX10" i="35"/>
  <c r="AX37" i="35"/>
  <c r="AX34" i="35"/>
  <c r="AX43" i="35"/>
  <c r="AX40" i="35"/>
  <c r="AX60" i="35"/>
  <c r="AX63" i="35"/>
  <c r="AW16" i="35"/>
  <c r="AY14" i="35"/>
  <c r="BA15" i="35"/>
  <c r="AN15" i="35" s="1"/>
  <c r="E15" i="27" s="1"/>
  <c r="AY21" i="35"/>
  <c r="AX24" i="35"/>
  <c r="BA27" i="35"/>
  <c r="AX28" i="35"/>
  <c r="AW30" i="35"/>
  <c r="AW36" i="35"/>
  <c r="BA43" i="35"/>
  <c r="AX48" i="35"/>
  <c r="BA68" i="35"/>
  <c r="AY23" i="35"/>
  <c r="AY26" i="35"/>
  <c r="AX29" i="35"/>
  <c r="BA34" i="35"/>
  <c r="BA49" i="35"/>
  <c r="AY53" i="35"/>
  <c r="BA67" i="35"/>
  <c r="AY29" i="35"/>
  <c r="AX32" i="35"/>
  <c r="BA37" i="35"/>
  <c r="AX50" i="35"/>
  <c r="BA60" i="35"/>
  <c r="AX68" i="35"/>
  <c r="AX56" i="35"/>
  <c r="AY20" i="35"/>
  <c r="AX23" i="35"/>
  <c r="BA28" i="35"/>
  <c r="BA52" i="35"/>
  <c r="AY56" i="35"/>
  <c r="AW12" i="35"/>
  <c r="AX26" i="35"/>
  <c r="BA31" i="35"/>
  <c r="AX53" i="35"/>
  <c r="AW68" i="35"/>
  <c r="AY32" i="35"/>
  <c r="AX35" i="35"/>
  <c r="BA40" i="35"/>
  <c r="BA46" i="35"/>
  <c r="AY50" i="35"/>
  <c r="BA64" i="35"/>
  <c r="AY68" i="35"/>
  <c r="BA10" i="35"/>
  <c r="AY38" i="35"/>
  <c r="AX41" i="35"/>
  <c r="AY47" i="35"/>
  <c r="BA61" i="35"/>
  <c r="AY65" i="35"/>
  <c r="BA13" i="35"/>
  <c r="AY41" i="35"/>
  <c r="AX44" i="35"/>
  <c r="AX62" i="35"/>
  <c r="BA55" i="32"/>
  <c r="BA27" i="32"/>
  <c r="BA11" i="32"/>
  <c r="BA35" i="32"/>
  <c r="BA43" i="32"/>
  <c r="BA13" i="32"/>
  <c r="AY22" i="32"/>
  <c r="BA64" i="32"/>
  <c r="AN64" i="32" s="1"/>
  <c r="C64" i="27" s="1"/>
  <c r="BA15" i="32"/>
  <c r="BA32" i="32"/>
  <c r="BA37" i="32"/>
  <c r="BA52" i="32"/>
  <c r="BA44" i="32"/>
  <c r="BA59" i="32"/>
  <c r="BA46" i="32"/>
  <c r="AN46" i="32" s="1"/>
  <c r="C46" i="27" s="1"/>
  <c r="BA63" i="32"/>
  <c r="BA41" i="32"/>
  <c r="BA16" i="32"/>
  <c r="AY52" i="32"/>
  <c r="BA24" i="32"/>
  <c r="AW35" i="32"/>
  <c r="BA50" i="32"/>
  <c r="BA53" i="32"/>
  <c r="AY63" i="32"/>
  <c r="BA26" i="32"/>
  <c r="BA21" i="32"/>
  <c r="BA61" i="32"/>
  <c r="AW44" i="32"/>
  <c r="AW55" i="32"/>
  <c r="BA45" i="32"/>
  <c r="BA14" i="32"/>
  <c r="AW21" i="32"/>
  <c r="BA25" i="32"/>
  <c r="AN25" i="32" s="1"/>
  <c r="C25" i="27" s="1"/>
  <c r="BA34" i="32"/>
  <c r="AN34" i="32" s="1"/>
  <c r="C34" i="27" s="1"/>
  <c r="AW11" i="32"/>
  <c r="BA54" i="32"/>
  <c r="AN54" i="32" s="1"/>
  <c r="C54" i="27" s="1"/>
  <c r="BA9" i="32"/>
  <c r="AN9" i="32" s="1"/>
  <c r="M11" i="31" s="1"/>
  <c r="BA36" i="32"/>
  <c r="BA68" i="32"/>
  <c r="BA10" i="32"/>
  <c r="AN10" i="32" s="1"/>
  <c r="C10" i="27" s="1"/>
  <c r="BA33" i="32"/>
  <c r="AY61" i="32"/>
  <c r="BA51" i="32"/>
  <c r="AN51" i="32" s="1"/>
  <c r="C51" i="27" s="1"/>
  <c r="AW15" i="32"/>
  <c r="BA60" i="32"/>
  <c r="AN60" i="32" s="1"/>
  <c r="C60" i="27" s="1"/>
  <c r="AW68" i="32"/>
  <c r="AW59" i="32"/>
  <c r="AW50" i="32"/>
  <c r="AW41" i="32"/>
  <c r="AW32" i="32"/>
  <c r="BA31" i="32"/>
  <c r="BA18" i="32"/>
  <c r="BA39" i="32"/>
  <c r="AN39" i="32" s="1"/>
  <c r="C39" i="27" s="1"/>
  <c r="AW13" i="32"/>
  <c r="AW65" i="32"/>
  <c r="AW49" i="32"/>
  <c r="AW31" i="32"/>
  <c r="AW29" i="32"/>
  <c r="AW17" i="32"/>
  <c r="BA67" i="32"/>
  <c r="BA58" i="32"/>
  <c r="BA49" i="32"/>
  <c r="BA40" i="32"/>
  <c r="AW23" i="32"/>
  <c r="BA66" i="32"/>
  <c r="BA57" i="32"/>
  <c r="AN57" i="32" s="1"/>
  <c r="C57" i="27" s="1"/>
  <c r="BA48" i="32"/>
  <c r="AN48" i="32" s="1"/>
  <c r="C48" i="27" s="1"/>
  <c r="BA30" i="32"/>
  <c r="BA12" i="32"/>
  <c r="AN12" i="32" s="1"/>
  <c r="C12" i="27" s="1"/>
  <c r="BC5" i="32"/>
  <c r="AW67" i="32"/>
  <c r="AW58" i="32"/>
  <c r="AW56" i="32"/>
  <c r="AW47" i="32"/>
  <c r="AW40" i="32"/>
  <c r="AW38" i="32"/>
  <c r="AW18" i="32"/>
  <c r="BA19" i="32"/>
  <c r="AN19" i="32" s="1"/>
  <c r="C19" i="27" s="1"/>
  <c r="AX68" i="32"/>
  <c r="AX65" i="32"/>
  <c r="AX62" i="32"/>
  <c r="AX59" i="32"/>
  <c r="AX56" i="32"/>
  <c r="AX53" i="32"/>
  <c r="AX35" i="32"/>
  <c r="AX32" i="32"/>
  <c r="AX26" i="32"/>
  <c r="AX50" i="32"/>
  <c r="AX47" i="32"/>
  <c r="AX44" i="32"/>
  <c r="AX41" i="32"/>
  <c r="AX38" i="32"/>
  <c r="AX29" i="32"/>
  <c r="AX23" i="32"/>
  <c r="AX17" i="32"/>
  <c r="AX24" i="32"/>
  <c r="AR9" i="32"/>
  <c r="AT9" i="32" s="1"/>
  <c r="Q12" i="31" s="1"/>
  <c r="AW14" i="32"/>
  <c r="AX16" i="32"/>
  <c r="BA22" i="32"/>
  <c r="AY24" i="32"/>
  <c r="AY27" i="32"/>
  <c r="AW28" i="32"/>
  <c r="AW33" i="32"/>
  <c r="AX36" i="32"/>
  <c r="AW61" i="32"/>
  <c r="AY66" i="32"/>
  <c r="BA42" i="32"/>
  <c r="AR10" i="32"/>
  <c r="AT10" i="32" s="1"/>
  <c r="AW24" i="32"/>
  <c r="AW27" i="32"/>
  <c r="AW43" i="32"/>
  <c r="BA62" i="32"/>
  <c r="AX27" i="32"/>
  <c r="AW52" i="32"/>
  <c r="AX14" i="32"/>
  <c r="AY16" i="32"/>
  <c r="BA20" i="32"/>
  <c r="AN20" i="32" s="1"/>
  <c r="C20" i="27" s="1"/>
  <c r="AX28" i="32"/>
  <c r="AW30" i="32"/>
  <c r="AX33" i="32"/>
  <c r="AY36" i="32"/>
  <c r="AW37" i="32"/>
  <c r="AW42" i="32"/>
  <c r="AX45" i="32"/>
  <c r="AY26" i="32"/>
  <c r="AY35" i="32"/>
  <c r="AY44" i="32"/>
  <c r="AY62" i="32"/>
  <c r="BA17" i="32"/>
  <c r="BA29" i="32"/>
  <c r="BA38" i="32"/>
  <c r="AY53" i="32"/>
  <c r="AY11" i="32"/>
  <c r="BA47" i="32"/>
  <c r="BA56" i="32"/>
  <c r="BA65" i="32"/>
  <c r="AY17" i="32"/>
  <c r="BA23" i="32"/>
  <c r="AY29" i="32"/>
  <c r="AY38" i="32"/>
  <c r="AY47" i="32"/>
  <c r="AY56" i="32"/>
  <c r="AY65" i="32"/>
  <c r="AW30" i="8"/>
  <c r="AX65" i="8"/>
  <c r="AX53" i="8"/>
  <c r="AX29" i="8"/>
  <c r="AW62" i="8"/>
  <c r="AW54" i="8"/>
  <c r="AW46" i="8"/>
  <c r="AW42" i="8"/>
  <c r="AW38" i="8"/>
  <c r="AW34" i="8"/>
  <c r="AX60" i="8"/>
  <c r="AW18" i="8"/>
  <c r="AW14" i="8"/>
  <c r="AW9" i="8"/>
  <c r="AX49" i="8"/>
  <c r="AX41" i="8"/>
  <c r="AX33" i="8"/>
  <c r="AX21" i="8"/>
  <c r="BA13" i="8"/>
  <c r="AW61" i="8"/>
  <c r="AW49" i="8"/>
  <c r="AW33" i="8"/>
  <c r="AW25" i="8"/>
  <c r="AW41" i="8"/>
  <c r="BA52" i="8"/>
  <c r="AW64" i="8"/>
  <c r="AW40" i="8"/>
  <c r="AW28" i="8"/>
  <c r="AW24" i="8"/>
  <c r="AW16" i="8"/>
  <c r="AW12" i="8"/>
  <c r="AW35" i="8"/>
  <c r="AY25" i="8"/>
  <c r="AW65" i="8"/>
  <c r="AW57" i="8"/>
  <c r="AW45" i="8"/>
  <c r="AW37" i="8"/>
  <c r="AW29" i="8"/>
  <c r="AY16" i="8"/>
  <c r="AX56" i="8"/>
  <c r="AX48" i="8"/>
  <c r="AX28" i="8"/>
  <c r="AX20" i="8"/>
  <c r="AW60" i="8"/>
  <c r="AW52" i="8"/>
  <c r="AW36" i="8"/>
  <c r="AX10" i="8"/>
  <c r="AX63" i="8"/>
  <c r="AX35" i="8"/>
  <c r="AY26" i="8"/>
  <c r="AY55" i="8"/>
  <c r="AP10" i="8"/>
  <c r="AS10" i="8" s="1"/>
  <c r="AW67" i="8"/>
  <c r="AW55" i="8"/>
  <c r="AY42" i="8"/>
  <c r="AY34" i="8"/>
  <c r="AY18" i="8"/>
  <c r="AY43" i="8"/>
  <c r="AR10" i="8"/>
  <c r="AT10" i="8" s="1"/>
  <c r="AX55" i="8"/>
  <c r="AW63" i="8"/>
  <c r="AW51" i="8"/>
  <c r="BA58" i="8"/>
  <c r="AX46" i="8"/>
  <c r="AX22" i="8"/>
  <c r="BA10" i="8"/>
  <c r="AW10" i="8"/>
  <c r="AX67" i="8"/>
  <c r="AX58" i="8"/>
  <c r="AX52" i="8"/>
  <c r="AX37" i="8"/>
  <c r="AX34" i="8"/>
  <c r="AX31" i="8"/>
  <c r="AX19" i="8"/>
  <c r="AX16" i="8"/>
  <c r="AX13" i="8"/>
  <c r="AX64" i="8"/>
  <c r="BA33" i="8"/>
  <c r="BA30" i="8"/>
  <c r="AY63" i="8"/>
  <c r="AY57" i="8"/>
  <c r="AX25" i="8"/>
  <c r="AR9" i="8"/>
  <c r="AT9" i="8" s="1"/>
  <c r="Q14" i="31" s="1"/>
  <c r="AO9" i="8"/>
  <c r="AM9" i="8"/>
  <c r="AY9" i="8" s="1"/>
  <c r="AL9" i="8"/>
  <c r="AX9" i="8" s="1"/>
  <c r="AY8" i="8"/>
  <c r="AX8" i="8"/>
  <c r="BA4" i="8" s="1"/>
  <c r="AW8" i="8"/>
  <c r="BB4" i="8"/>
  <c r="AZ4" i="8"/>
  <c r="BB5" i="8"/>
  <c r="AY60" i="8" s="1"/>
  <c r="BA5" i="8"/>
  <c r="AZ5" i="8"/>
  <c r="AW58" i="8" s="1"/>
  <c r="AI7" i="8"/>
  <c r="AM7" i="8" s="1"/>
  <c r="W7" i="8"/>
  <c r="AL7" i="8" s="1"/>
  <c r="C7" i="8"/>
  <c r="AK7" i="8" s="1"/>
  <c r="K61" i="27"/>
  <c r="J43" i="27"/>
  <c r="H17" i="27"/>
  <c r="H51" i="27"/>
  <c r="H11" i="27"/>
  <c r="Q25" i="31"/>
  <c r="M22" i="31"/>
  <c r="H39" i="27"/>
  <c r="H15" i="27"/>
  <c r="H60" i="27"/>
  <c r="I66" i="27"/>
  <c r="I30" i="27"/>
  <c r="K52" i="27"/>
  <c r="I60" i="27"/>
  <c r="I15" i="27"/>
  <c r="H66" i="27"/>
  <c r="H20" i="27"/>
  <c r="J61" i="27"/>
  <c r="H9" i="27"/>
  <c r="I48" i="27"/>
  <c r="Q22" i="31"/>
  <c r="I27" i="27"/>
  <c r="H33" i="27"/>
  <c r="J52" i="27"/>
  <c r="H23" i="27"/>
  <c r="I24" i="27"/>
  <c r="H57" i="27"/>
  <c r="Q24" i="31"/>
  <c r="H48" i="27"/>
  <c r="Q23" i="31"/>
  <c r="I42" i="27"/>
  <c r="H42" i="27"/>
  <c r="H14" i="27"/>
  <c r="K43" i="27"/>
  <c r="AN52" i="42" l="1"/>
  <c r="L52" i="27" s="1"/>
  <c r="AN66" i="42"/>
  <c r="L66" i="27" s="1"/>
  <c r="AN40" i="44"/>
  <c r="N40" i="27" s="1"/>
  <c r="R9" i="27"/>
  <c r="C9" i="27"/>
  <c r="AN46" i="47"/>
  <c r="Q46" i="27" s="1"/>
  <c r="AN49" i="47"/>
  <c r="Q49" i="27" s="1"/>
  <c r="AN62" i="45"/>
  <c r="O62" i="27" s="1"/>
  <c r="AN57" i="45"/>
  <c r="O57" i="27" s="1"/>
  <c r="AN46" i="42"/>
  <c r="L46" i="27" s="1"/>
  <c r="AN68" i="38"/>
  <c r="AN67" i="38"/>
  <c r="AN24" i="38"/>
  <c r="AN55" i="47"/>
  <c r="Q55" i="27" s="1"/>
  <c r="AN45" i="45"/>
  <c r="O45" i="27" s="1"/>
  <c r="AN24" i="44"/>
  <c r="N24" i="27" s="1"/>
  <c r="AN33" i="43"/>
  <c r="M33" i="27" s="1"/>
  <c r="AN9" i="39"/>
  <c r="AN54" i="39"/>
  <c r="AN45" i="43"/>
  <c r="M45" i="27" s="1"/>
  <c r="AN63" i="38"/>
  <c r="AN12" i="38"/>
  <c r="AN15" i="37"/>
  <c r="G15" i="27" s="1"/>
  <c r="AN10" i="47"/>
  <c r="Q10" i="27" s="1"/>
  <c r="AN33" i="44"/>
  <c r="N33" i="27" s="1"/>
  <c r="AN63" i="44"/>
  <c r="N63" i="27" s="1"/>
  <c r="AN45" i="39"/>
  <c r="AN12" i="35"/>
  <c r="E12" i="27" s="1"/>
  <c r="AN16" i="46"/>
  <c r="P16" i="27" s="1"/>
  <c r="AN24" i="45"/>
  <c r="O24" i="27" s="1"/>
  <c r="AN57" i="42"/>
  <c r="L57" i="27" s="1"/>
  <c r="AN45" i="42"/>
  <c r="L45" i="27" s="1"/>
  <c r="AN19" i="41"/>
  <c r="AN21" i="39"/>
  <c r="AN36" i="38"/>
  <c r="AN30" i="38"/>
  <c r="AN20" i="47"/>
  <c r="Q20" i="27" s="1"/>
  <c r="AN18" i="45"/>
  <c r="O18" i="27" s="1"/>
  <c r="AN53" i="45"/>
  <c r="O53" i="27" s="1"/>
  <c r="AN9" i="44"/>
  <c r="AN36" i="44"/>
  <c r="N36" i="27" s="1"/>
  <c r="AN21" i="43"/>
  <c r="M21" i="27" s="1"/>
  <c r="AN49" i="42"/>
  <c r="L49" i="27" s="1"/>
  <c r="AN17" i="42"/>
  <c r="L17" i="27" s="1"/>
  <c r="AN18" i="42"/>
  <c r="L18" i="27" s="1"/>
  <c r="AN27" i="38"/>
  <c r="AN64" i="38"/>
  <c r="AN51" i="48"/>
  <c r="R51" i="27" s="1"/>
  <c r="AN45" i="48"/>
  <c r="R45" i="27" s="1"/>
  <c r="AN64" i="47"/>
  <c r="Q64" i="27" s="1"/>
  <c r="AN56" i="47"/>
  <c r="Q56" i="27" s="1"/>
  <c r="AN51" i="47"/>
  <c r="Q51" i="27" s="1"/>
  <c r="AN15" i="47"/>
  <c r="Q15" i="27" s="1"/>
  <c r="AN9" i="45"/>
  <c r="AN21" i="45"/>
  <c r="O21" i="27" s="1"/>
  <c r="AN23" i="45"/>
  <c r="O23" i="27" s="1"/>
  <c r="AN27" i="45"/>
  <c r="O27" i="27" s="1"/>
  <c r="AN30" i="44"/>
  <c r="N30" i="27" s="1"/>
  <c r="AN24" i="43"/>
  <c r="M24" i="27" s="1"/>
  <c r="AN39" i="42"/>
  <c r="L39" i="27" s="1"/>
  <c r="AN25" i="42"/>
  <c r="L25" i="27" s="1"/>
  <c r="AN16" i="41"/>
  <c r="AN66" i="41"/>
  <c r="AN25" i="41"/>
  <c r="AN60" i="41"/>
  <c r="AN33" i="40"/>
  <c r="AN55" i="40"/>
  <c r="AN51" i="40"/>
  <c r="AN13" i="40"/>
  <c r="AN12" i="39"/>
  <c r="AN53" i="39"/>
  <c r="AN57" i="39"/>
  <c r="AN18" i="39"/>
  <c r="AN35" i="39"/>
  <c r="AN68" i="39"/>
  <c r="AN21" i="38"/>
  <c r="AN16" i="37"/>
  <c r="G16" i="27" s="1"/>
  <c r="AN41" i="36"/>
  <c r="F41" i="27" s="1"/>
  <c r="AN24" i="35"/>
  <c r="E24" i="27" s="1"/>
  <c r="AN13" i="48"/>
  <c r="R13" i="27" s="1"/>
  <c r="AN24" i="48"/>
  <c r="R24" i="27" s="1"/>
  <c r="AN41" i="48"/>
  <c r="R41" i="27" s="1"/>
  <c r="AN67" i="48"/>
  <c r="R67" i="27" s="1"/>
  <c r="AN53" i="48"/>
  <c r="R53" i="27" s="1"/>
  <c r="AN31" i="48"/>
  <c r="R31" i="27" s="1"/>
  <c r="AN22" i="47"/>
  <c r="Q22" i="27" s="1"/>
  <c r="AN67" i="47"/>
  <c r="Q67" i="27" s="1"/>
  <c r="AN52" i="47"/>
  <c r="Q52" i="27" s="1"/>
  <c r="AN48" i="47"/>
  <c r="Q48" i="27" s="1"/>
  <c r="AN9" i="47"/>
  <c r="AN10" i="46"/>
  <c r="P10" i="27" s="1"/>
  <c r="AN13" i="46"/>
  <c r="P13" i="27" s="1"/>
  <c r="AN43" i="46"/>
  <c r="P43" i="27" s="1"/>
  <c r="AN53" i="46"/>
  <c r="P53" i="27" s="1"/>
  <c r="AN59" i="45"/>
  <c r="O59" i="27" s="1"/>
  <c r="AN38" i="45"/>
  <c r="O38" i="27" s="1"/>
  <c r="AN56" i="45"/>
  <c r="O56" i="27" s="1"/>
  <c r="AN39" i="45"/>
  <c r="O39" i="27" s="1"/>
  <c r="AN60" i="44"/>
  <c r="N60" i="27" s="1"/>
  <c r="AN39" i="44"/>
  <c r="N39" i="27" s="1"/>
  <c r="AN17" i="44"/>
  <c r="N17" i="27" s="1"/>
  <c r="AN55" i="44"/>
  <c r="N55" i="27" s="1"/>
  <c r="AN64" i="44"/>
  <c r="N64" i="27" s="1"/>
  <c r="AN56" i="44"/>
  <c r="N56" i="27" s="1"/>
  <c r="AN34" i="44"/>
  <c r="N34" i="27" s="1"/>
  <c r="AN48" i="43"/>
  <c r="M48" i="27" s="1"/>
  <c r="AN36" i="43"/>
  <c r="M36" i="27" s="1"/>
  <c r="AN12" i="43"/>
  <c r="M12" i="27" s="1"/>
  <c r="AN66" i="43"/>
  <c r="M66" i="27" s="1"/>
  <c r="AN9" i="42"/>
  <c r="AN27" i="41"/>
  <c r="AN46" i="40"/>
  <c r="AN63" i="40"/>
  <c r="AN63" i="39"/>
  <c r="AN36" i="39"/>
  <c r="AN65" i="39"/>
  <c r="AN39" i="39"/>
  <c r="AN59" i="39"/>
  <c r="AN10" i="39"/>
  <c r="AN46" i="39"/>
  <c r="AN23" i="39"/>
  <c r="AN45" i="38"/>
  <c r="AN65" i="38"/>
  <c r="AN18" i="38"/>
  <c r="AN59" i="38"/>
  <c r="AN21" i="37"/>
  <c r="G21" i="27" s="1"/>
  <c r="AN15" i="36"/>
  <c r="F15" i="27" s="1"/>
  <c r="AN21" i="36"/>
  <c r="F21" i="27" s="1"/>
  <c r="AN9" i="36"/>
  <c r="AN16" i="36"/>
  <c r="F16" i="27" s="1"/>
  <c r="AN13" i="36"/>
  <c r="F13" i="27" s="1"/>
  <c r="AN45" i="35"/>
  <c r="E45" i="27" s="1"/>
  <c r="AN16" i="35"/>
  <c r="E16" i="27" s="1"/>
  <c r="AN55" i="35"/>
  <c r="E55" i="27" s="1"/>
  <c r="AN47" i="48"/>
  <c r="R47" i="27" s="1"/>
  <c r="AN11" i="48"/>
  <c r="R11" i="27" s="1"/>
  <c r="AN63" i="48"/>
  <c r="R63" i="27" s="1"/>
  <c r="AN43" i="48"/>
  <c r="R43" i="27" s="1"/>
  <c r="AN18" i="48"/>
  <c r="R18" i="27" s="1"/>
  <c r="AN14" i="48"/>
  <c r="R14" i="27" s="1"/>
  <c r="AN28" i="48"/>
  <c r="R28" i="27" s="1"/>
  <c r="AN17" i="48"/>
  <c r="R17" i="27" s="1"/>
  <c r="AN48" i="48"/>
  <c r="R48" i="27" s="1"/>
  <c r="AN21" i="48"/>
  <c r="R21" i="27" s="1"/>
  <c r="AN23" i="48"/>
  <c r="R23" i="27" s="1"/>
  <c r="AN54" i="48"/>
  <c r="R54" i="27" s="1"/>
  <c r="AN26" i="47"/>
  <c r="Q26" i="27" s="1"/>
  <c r="AN62" i="47"/>
  <c r="Q62" i="27" s="1"/>
  <c r="AN68" i="47"/>
  <c r="Q68" i="27" s="1"/>
  <c r="AN44" i="47"/>
  <c r="Q44" i="27" s="1"/>
  <c r="AN61" i="47"/>
  <c r="Q61" i="27" s="1"/>
  <c r="AN19" i="47"/>
  <c r="Q19" i="27" s="1"/>
  <c r="AN46" i="46"/>
  <c r="P46" i="27" s="1"/>
  <c r="AN18" i="46"/>
  <c r="P18" i="27" s="1"/>
  <c r="AN50" i="46"/>
  <c r="P50" i="27" s="1"/>
  <c r="AN67" i="46"/>
  <c r="P67" i="27" s="1"/>
  <c r="AN31" i="46"/>
  <c r="P31" i="27" s="1"/>
  <c r="AN47" i="46"/>
  <c r="P47" i="27" s="1"/>
  <c r="AN63" i="46"/>
  <c r="P63" i="27" s="1"/>
  <c r="AN52" i="46"/>
  <c r="P52" i="27" s="1"/>
  <c r="AN64" i="46"/>
  <c r="P64" i="27" s="1"/>
  <c r="AN28" i="46"/>
  <c r="P28" i="27" s="1"/>
  <c r="AN44" i="46"/>
  <c r="P44" i="27" s="1"/>
  <c r="AN60" i="46"/>
  <c r="P60" i="27" s="1"/>
  <c r="AN24" i="46"/>
  <c r="P24" i="27" s="1"/>
  <c r="AN58" i="46"/>
  <c r="P58" i="27" s="1"/>
  <c r="AN34" i="46"/>
  <c r="P34" i="27" s="1"/>
  <c r="AN61" i="46"/>
  <c r="P61" i="27" s="1"/>
  <c r="AN25" i="46"/>
  <c r="P25" i="27" s="1"/>
  <c r="AN55" i="46"/>
  <c r="P55" i="27" s="1"/>
  <c r="AN19" i="46"/>
  <c r="P19" i="27" s="1"/>
  <c r="AN22" i="46"/>
  <c r="P22" i="27" s="1"/>
  <c r="AN49" i="46"/>
  <c r="P49" i="27" s="1"/>
  <c r="AN40" i="46"/>
  <c r="P40" i="27" s="1"/>
  <c r="AN37" i="46"/>
  <c r="P37" i="27" s="1"/>
  <c r="AN46" i="45"/>
  <c r="O46" i="27" s="1"/>
  <c r="AN52" i="45"/>
  <c r="O52" i="27" s="1"/>
  <c r="AN17" i="45"/>
  <c r="O17" i="27" s="1"/>
  <c r="AN65" i="45"/>
  <c r="O65" i="27" s="1"/>
  <c r="AN68" i="45"/>
  <c r="O68" i="27" s="1"/>
  <c r="AN11" i="45"/>
  <c r="O11" i="27" s="1"/>
  <c r="AN37" i="45"/>
  <c r="O37" i="27" s="1"/>
  <c r="AN49" i="45"/>
  <c r="O49" i="27" s="1"/>
  <c r="AN60" i="45"/>
  <c r="O60" i="27" s="1"/>
  <c r="AN31" i="45"/>
  <c r="O31" i="27" s="1"/>
  <c r="AN43" i="45"/>
  <c r="O43" i="27" s="1"/>
  <c r="AN64" i="45"/>
  <c r="O64" i="27" s="1"/>
  <c r="AN35" i="45"/>
  <c r="O35" i="27" s="1"/>
  <c r="AN22" i="45"/>
  <c r="O22" i="27" s="1"/>
  <c r="AN26" i="45"/>
  <c r="O26" i="27" s="1"/>
  <c r="AN32" i="45"/>
  <c r="O32" i="27" s="1"/>
  <c r="AN19" i="45"/>
  <c r="O19" i="27" s="1"/>
  <c r="AN44" i="45"/>
  <c r="O44" i="27" s="1"/>
  <c r="AN25" i="45"/>
  <c r="O25" i="27" s="1"/>
  <c r="AN40" i="45"/>
  <c r="O40" i="27" s="1"/>
  <c r="AN29" i="45"/>
  <c r="O29" i="27" s="1"/>
  <c r="AN48" i="45"/>
  <c r="O48" i="27" s="1"/>
  <c r="AN10" i="45"/>
  <c r="O10" i="27" s="1"/>
  <c r="AN28" i="45"/>
  <c r="O28" i="27" s="1"/>
  <c r="AN16" i="45"/>
  <c r="O16" i="27" s="1"/>
  <c r="AN50" i="45"/>
  <c r="O50" i="27" s="1"/>
  <c r="AN61" i="45"/>
  <c r="O61" i="27" s="1"/>
  <c r="AN33" i="45"/>
  <c r="O33" i="27" s="1"/>
  <c r="AN58" i="45"/>
  <c r="O58" i="27" s="1"/>
  <c r="AN45" i="44"/>
  <c r="N45" i="27" s="1"/>
  <c r="AN35" i="44"/>
  <c r="N35" i="27" s="1"/>
  <c r="AN48" i="44"/>
  <c r="N48" i="27" s="1"/>
  <c r="AN52" i="44"/>
  <c r="N52" i="27" s="1"/>
  <c r="AN28" i="44"/>
  <c r="N28" i="27" s="1"/>
  <c r="AN21" i="44"/>
  <c r="N21" i="27" s="1"/>
  <c r="AN13" i="44"/>
  <c r="N13" i="27" s="1"/>
  <c r="AN57" i="44"/>
  <c r="N57" i="27" s="1"/>
  <c r="AN50" i="44"/>
  <c r="N50" i="27" s="1"/>
  <c r="AN67" i="44"/>
  <c r="N67" i="27" s="1"/>
  <c r="AN44" i="44"/>
  <c r="N44" i="27" s="1"/>
  <c r="AN38" i="44"/>
  <c r="N38" i="27" s="1"/>
  <c r="AN68" i="44"/>
  <c r="N68" i="27" s="1"/>
  <c r="AN61" i="44"/>
  <c r="N61" i="27" s="1"/>
  <c r="AN26" i="44"/>
  <c r="N26" i="27" s="1"/>
  <c r="AN57" i="43"/>
  <c r="M57" i="27" s="1"/>
  <c r="AN27" i="43"/>
  <c r="M27" i="27" s="1"/>
  <c r="AN29" i="43"/>
  <c r="M29" i="27" s="1"/>
  <c r="AN65" i="43"/>
  <c r="M65" i="27" s="1"/>
  <c r="AN60" i="43"/>
  <c r="M60" i="27" s="1"/>
  <c r="AN32" i="43"/>
  <c r="M32" i="27" s="1"/>
  <c r="AN9" i="43"/>
  <c r="AN13" i="43"/>
  <c r="M13" i="27" s="1"/>
  <c r="AN16" i="43"/>
  <c r="M16" i="27" s="1"/>
  <c r="AN26" i="42"/>
  <c r="L26" i="27" s="1"/>
  <c r="AN67" i="42"/>
  <c r="L67" i="27" s="1"/>
  <c r="AN13" i="42"/>
  <c r="L13" i="27" s="1"/>
  <c r="AN29" i="42"/>
  <c r="L29" i="27" s="1"/>
  <c r="AN55" i="42"/>
  <c r="L55" i="27" s="1"/>
  <c r="AN21" i="42"/>
  <c r="L21" i="27" s="1"/>
  <c r="AN62" i="42"/>
  <c r="L62" i="27" s="1"/>
  <c r="AN16" i="42"/>
  <c r="L16" i="27" s="1"/>
  <c r="AN48" i="42"/>
  <c r="L48" i="27" s="1"/>
  <c r="AN64" i="42"/>
  <c r="L64" i="27" s="1"/>
  <c r="AN50" i="42"/>
  <c r="L50" i="27" s="1"/>
  <c r="AN28" i="42"/>
  <c r="L28" i="27" s="1"/>
  <c r="AN23" i="42"/>
  <c r="L23" i="27" s="1"/>
  <c r="AN36" i="42"/>
  <c r="L36" i="27" s="1"/>
  <c r="AN10" i="42"/>
  <c r="L10" i="27" s="1"/>
  <c r="AN54" i="41"/>
  <c r="AN9" i="41"/>
  <c r="AN29" i="41"/>
  <c r="AN55" i="41"/>
  <c r="AN41" i="41"/>
  <c r="AN22" i="41"/>
  <c r="AN36" i="41"/>
  <c r="AN33" i="41"/>
  <c r="AN42" i="41"/>
  <c r="AN20" i="40"/>
  <c r="AN35" i="40"/>
  <c r="AN67" i="40"/>
  <c r="AN17" i="40"/>
  <c r="AN56" i="40"/>
  <c r="AN53" i="40"/>
  <c r="AN61" i="40"/>
  <c r="AN58" i="40"/>
  <c r="AN52" i="40"/>
  <c r="AN14" i="40"/>
  <c r="AN31" i="40"/>
  <c r="AN28" i="40"/>
  <c r="AN18" i="40"/>
  <c r="AN42" i="40"/>
  <c r="AN45" i="40"/>
  <c r="AN22" i="40"/>
  <c r="AN29" i="40"/>
  <c r="AN16" i="40"/>
  <c r="AN60" i="40"/>
  <c r="AN41" i="39"/>
  <c r="AN32" i="39"/>
  <c r="AN61" i="39"/>
  <c r="AN58" i="39"/>
  <c r="AN62" i="39"/>
  <c r="AN43" i="39"/>
  <c r="AN17" i="39"/>
  <c r="AN40" i="39"/>
  <c r="AN50" i="39"/>
  <c r="AN14" i="39"/>
  <c r="AN26" i="39"/>
  <c r="AN11" i="39"/>
  <c r="AN44" i="39"/>
  <c r="AN20" i="39"/>
  <c r="AN51" i="39"/>
  <c r="AN33" i="39"/>
  <c r="AN52" i="38"/>
  <c r="AN16" i="38"/>
  <c r="AN49" i="38"/>
  <c r="AN13" i="38"/>
  <c r="AN46" i="38"/>
  <c r="AN10" i="38"/>
  <c r="AN54" i="38"/>
  <c r="AN56" i="38"/>
  <c r="AN50" i="38"/>
  <c r="AN44" i="38"/>
  <c r="AN53" i="38"/>
  <c r="AN47" i="38"/>
  <c r="AN41" i="38"/>
  <c r="AN28" i="38"/>
  <c r="AN61" i="38"/>
  <c r="AN25" i="38"/>
  <c r="AN58" i="38"/>
  <c r="AN22" i="38"/>
  <c r="AN23" i="37"/>
  <c r="G23" i="27" s="1"/>
  <c r="AN59" i="37"/>
  <c r="G59" i="27" s="1"/>
  <c r="AN33" i="37"/>
  <c r="G33" i="27" s="1"/>
  <c r="AN28" i="37"/>
  <c r="G28" i="27" s="1"/>
  <c r="AN12" i="37"/>
  <c r="G12" i="27" s="1"/>
  <c r="AN31" i="37"/>
  <c r="G31" i="27" s="1"/>
  <c r="AN26" i="37"/>
  <c r="G26" i="27" s="1"/>
  <c r="AN61" i="37"/>
  <c r="G61" i="27" s="1"/>
  <c r="AN30" i="37"/>
  <c r="G30" i="27" s="1"/>
  <c r="AN25" i="37"/>
  <c r="G25" i="27" s="1"/>
  <c r="AN27" i="37"/>
  <c r="G27" i="27" s="1"/>
  <c r="AN22" i="37"/>
  <c r="G22" i="27" s="1"/>
  <c r="AN62" i="37"/>
  <c r="G62" i="27" s="1"/>
  <c r="AN9" i="37"/>
  <c r="AN19" i="37"/>
  <c r="G19" i="27" s="1"/>
  <c r="AN27" i="36"/>
  <c r="F27" i="27" s="1"/>
  <c r="AN18" i="36"/>
  <c r="F18" i="27" s="1"/>
  <c r="AN59" i="36"/>
  <c r="F59" i="27" s="1"/>
  <c r="AN30" i="36"/>
  <c r="F30" i="27" s="1"/>
  <c r="AN44" i="36"/>
  <c r="F44" i="27" s="1"/>
  <c r="AN28" i="36"/>
  <c r="F28" i="27" s="1"/>
  <c r="AN25" i="36"/>
  <c r="F25" i="27" s="1"/>
  <c r="AN35" i="35"/>
  <c r="E35" i="27" s="1"/>
  <c r="AN27" i="35"/>
  <c r="E27" i="27" s="1"/>
  <c r="AN56" i="35"/>
  <c r="E56" i="27" s="1"/>
  <c r="AN22" i="35"/>
  <c r="E22" i="27" s="1"/>
  <c r="AN19" i="35"/>
  <c r="E19" i="27" s="1"/>
  <c r="AN63" i="35"/>
  <c r="E63" i="27" s="1"/>
  <c r="AN50" i="35"/>
  <c r="E50" i="27" s="1"/>
  <c r="AN26" i="35"/>
  <c r="E26" i="27" s="1"/>
  <c r="AN57" i="35"/>
  <c r="E57" i="27" s="1"/>
  <c r="AN47" i="35"/>
  <c r="E47" i="27" s="1"/>
  <c r="AN10" i="35"/>
  <c r="E10" i="27" s="1"/>
  <c r="AN65" i="35"/>
  <c r="E65" i="27" s="1"/>
  <c r="AN48" i="35"/>
  <c r="E48" i="27" s="1"/>
  <c r="AN58" i="35"/>
  <c r="E58" i="27" s="1"/>
  <c r="AN51" i="35"/>
  <c r="E51" i="27" s="1"/>
  <c r="AN52" i="35"/>
  <c r="E52" i="27" s="1"/>
  <c r="AN55" i="32"/>
  <c r="C55" i="27" s="1"/>
  <c r="AN50" i="48"/>
  <c r="R50" i="27" s="1"/>
  <c r="AN44" i="48"/>
  <c r="R44" i="27" s="1"/>
  <c r="AN49" i="48"/>
  <c r="R49" i="27" s="1"/>
  <c r="AN65" i="48"/>
  <c r="R65" i="27" s="1"/>
  <c r="AN15" i="48"/>
  <c r="R15" i="27" s="1"/>
  <c r="AN37" i="48"/>
  <c r="R37" i="27" s="1"/>
  <c r="AN20" i="48"/>
  <c r="R20" i="27" s="1"/>
  <c r="AN61" i="48"/>
  <c r="R61" i="27" s="1"/>
  <c r="AN25" i="48"/>
  <c r="R25" i="27" s="1"/>
  <c r="AN57" i="48"/>
  <c r="R57" i="27" s="1"/>
  <c r="AN59" i="48"/>
  <c r="R59" i="27" s="1"/>
  <c r="AN22" i="48"/>
  <c r="R22" i="27" s="1"/>
  <c r="AN29" i="48"/>
  <c r="R29" i="27" s="1"/>
  <c r="AN40" i="48"/>
  <c r="R40" i="27" s="1"/>
  <c r="AN64" i="48"/>
  <c r="R64" i="27" s="1"/>
  <c r="AN58" i="48"/>
  <c r="R58" i="27" s="1"/>
  <c r="AN16" i="48"/>
  <c r="R16" i="27" s="1"/>
  <c r="AN68" i="48"/>
  <c r="R68" i="27" s="1"/>
  <c r="AN33" i="48"/>
  <c r="R33" i="27" s="1"/>
  <c r="AN32" i="48"/>
  <c r="R32" i="27" s="1"/>
  <c r="AN52" i="48"/>
  <c r="R52" i="27" s="1"/>
  <c r="AN34" i="48"/>
  <c r="R34" i="27" s="1"/>
  <c r="AN66" i="48"/>
  <c r="R66" i="27" s="1"/>
  <c r="AN46" i="48"/>
  <c r="R46" i="27" s="1"/>
  <c r="AN60" i="48"/>
  <c r="R60" i="27" s="1"/>
  <c r="AN62" i="48"/>
  <c r="R62" i="27" s="1"/>
  <c r="AN26" i="48"/>
  <c r="R26" i="27" s="1"/>
  <c r="AN27" i="48"/>
  <c r="R27" i="27" s="1"/>
  <c r="AN10" i="48"/>
  <c r="R10" i="27" s="1"/>
  <c r="AN42" i="48"/>
  <c r="R42" i="27" s="1"/>
  <c r="AN35" i="48"/>
  <c r="R35" i="27" s="1"/>
  <c r="AN55" i="48"/>
  <c r="R55" i="27" s="1"/>
  <c r="AN56" i="48"/>
  <c r="R56" i="27" s="1"/>
  <c r="AN38" i="48"/>
  <c r="R38" i="27" s="1"/>
  <c r="AN29" i="47"/>
  <c r="Q29" i="27" s="1"/>
  <c r="AN35" i="47"/>
  <c r="Q35" i="27" s="1"/>
  <c r="AN38" i="47"/>
  <c r="Q38" i="27" s="1"/>
  <c r="AN41" i="47"/>
  <c r="Q41" i="27" s="1"/>
  <c r="AN58" i="47"/>
  <c r="Q58" i="27" s="1"/>
  <c r="AN47" i="47"/>
  <c r="Q47" i="27" s="1"/>
  <c r="AN14" i="47"/>
  <c r="Q14" i="27" s="1"/>
  <c r="AN50" i="47"/>
  <c r="Q50" i="27" s="1"/>
  <c r="AN59" i="47"/>
  <c r="Q59" i="27" s="1"/>
  <c r="AN17" i="47"/>
  <c r="Q17" i="27" s="1"/>
  <c r="AN53" i="47"/>
  <c r="Q53" i="27" s="1"/>
  <c r="AN65" i="47"/>
  <c r="Q65" i="27" s="1"/>
  <c r="AN32" i="47"/>
  <c r="Q32" i="27" s="1"/>
  <c r="AN16" i="47"/>
  <c r="Q16" i="27" s="1"/>
  <c r="AN41" i="46"/>
  <c r="P41" i="27" s="1"/>
  <c r="AN15" i="46"/>
  <c r="P15" i="27" s="1"/>
  <c r="AN21" i="46"/>
  <c r="P21" i="27" s="1"/>
  <c r="AN12" i="46"/>
  <c r="P12" i="27" s="1"/>
  <c r="AN29" i="46"/>
  <c r="P29" i="27" s="1"/>
  <c r="AN9" i="46"/>
  <c r="AN47" i="45"/>
  <c r="O47" i="27" s="1"/>
  <c r="AN41" i="45"/>
  <c r="O41" i="27" s="1"/>
  <c r="AN13" i="45"/>
  <c r="O13" i="27" s="1"/>
  <c r="AN20" i="45"/>
  <c r="O20" i="27" s="1"/>
  <c r="AN34" i="45"/>
  <c r="O34" i="27" s="1"/>
  <c r="AN67" i="45"/>
  <c r="O67" i="27" s="1"/>
  <c r="AN14" i="45"/>
  <c r="O14" i="27" s="1"/>
  <c r="AN55" i="45"/>
  <c r="O55" i="27" s="1"/>
  <c r="AN46" i="44"/>
  <c r="N46" i="27" s="1"/>
  <c r="AN19" i="44"/>
  <c r="N19" i="27" s="1"/>
  <c r="AN15" i="44"/>
  <c r="N15" i="27" s="1"/>
  <c r="AN10" i="44"/>
  <c r="N10" i="27" s="1"/>
  <c r="AN20" i="44"/>
  <c r="N20" i="27" s="1"/>
  <c r="AN47" i="44"/>
  <c r="N47" i="27" s="1"/>
  <c r="AN22" i="44"/>
  <c r="N22" i="27" s="1"/>
  <c r="AN37" i="44"/>
  <c r="N37" i="27" s="1"/>
  <c r="AN58" i="44"/>
  <c r="N58" i="27" s="1"/>
  <c r="AN25" i="44"/>
  <c r="N25" i="27" s="1"/>
  <c r="AN53" i="44"/>
  <c r="N53" i="27" s="1"/>
  <c r="AN14" i="44"/>
  <c r="N14" i="27" s="1"/>
  <c r="AN32" i="44"/>
  <c r="N32" i="27" s="1"/>
  <c r="AN65" i="44"/>
  <c r="N65" i="27" s="1"/>
  <c r="AN23" i="44"/>
  <c r="N23" i="27" s="1"/>
  <c r="AN29" i="44"/>
  <c r="N29" i="27" s="1"/>
  <c r="AN16" i="44"/>
  <c r="N16" i="27" s="1"/>
  <c r="AN43" i="44"/>
  <c r="N43" i="27" s="1"/>
  <c r="AN59" i="44"/>
  <c r="N59" i="27" s="1"/>
  <c r="AN41" i="44"/>
  <c r="N41" i="27" s="1"/>
  <c r="AN42" i="44"/>
  <c r="N42" i="27" s="1"/>
  <c r="AN49" i="44"/>
  <c r="N49" i="27" s="1"/>
  <c r="AN62" i="44"/>
  <c r="N62" i="27" s="1"/>
  <c r="AN11" i="44"/>
  <c r="N11" i="27" s="1"/>
  <c r="AN31" i="44"/>
  <c r="N31" i="27" s="1"/>
  <c r="AN58" i="43"/>
  <c r="M58" i="27" s="1"/>
  <c r="AN39" i="43"/>
  <c r="M39" i="27" s="1"/>
  <c r="AN18" i="43"/>
  <c r="M18" i="27" s="1"/>
  <c r="AN26" i="43"/>
  <c r="M26" i="27" s="1"/>
  <c r="AN62" i="43"/>
  <c r="M62" i="27" s="1"/>
  <c r="AN31" i="43"/>
  <c r="M31" i="27" s="1"/>
  <c r="AN22" i="43"/>
  <c r="M22" i="27" s="1"/>
  <c r="AN28" i="43"/>
  <c r="M28" i="27" s="1"/>
  <c r="AN37" i="43"/>
  <c r="M37" i="27" s="1"/>
  <c r="AN41" i="43"/>
  <c r="M41" i="27" s="1"/>
  <c r="AN68" i="43"/>
  <c r="M68" i="27" s="1"/>
  <c r="AN25" i="43"/>
  <c r="M25" i="27" s="1"/>
  <c r="AN34" i="43"/>
  <c r="M34" i="27" s="1"/>
  <c r="AN43" i="43"/>
  <c r="M43" i="27" s="1"/>
  <c r="AN44" i="43"/>
  <c r="M44" i="27" s="1"/>
  <c r="AN15" i="43"/>
  <c r="M15" i="27" s="1"/>
  <c r="AN35" i="43"/>
  <c r="M35" i="27" s="1"/>
  <c r="AN19" i="43"/>
  <c r="M19" i="27" s="1"/>
  <c r="AN64" i="43"/>
  <c r="M64" i="27" s="1"/>
  <c r="AN40" i="43"/>
  <c r="M40" i="27" s="1"/>
  <c r="AN52" i="43"/>
  <c r="M52" i="27" s="1"/>
  <c r="AN11" i="43"/>
  <c r="M11" i="27" s="1"/>
  <c r="AN47" i="43"/>
  <c r="M47" i="27" s="1"/>
  <c r="AN67" i="43"/>
  <c r="M67" i="27" s="1"/>
  <c r="AN46" i="43"/>
  <c r="M46" i="27" s="1"/>
  <c r="AN55" i="43"/>
  <c r="M55" i="27" s="1"/>
  <c r="AN14" i="43"/>
  <c r="M14" i="27" s="1"/>
  <c r="AN50" i="43"/>
  <c r="M50" i="27" s="1"/>
  <c r="AN63" i="43"/>
  <c r="M63" i="27" s="1"/>
  <c r="AN61" i="43"/>
  <c r="M61" i="27" s="1"/>
  <c r="AN20" i="43"/>
  <c r="M20" i="27" s="1"/>
  <c r="AN56" i="43"/>
  <c r="M56" i="27" s="1"/>
  <c r="AN10" i="43"/>
  <c r="M10" i="27" s="1"/>
  <c r="AN38" i="43"/>
  <c r="M38" i="27" s="1"/>
  <c r="AN30" i="43"/>
  <c r="M30" i="27" s="1"/>
  <c r="AN49" i="43"/>
  <c r="M49" i="27" s="1"/>
  <c r="AN17" i="43"/>
  <c r="M17" i="27" s="1"/>
  <c r="AN53" i="43"/>
  <c r="M53" i="27" s="1"/>
  <c r="AN51" i="43"/>
  <c r="M51" i="27" s="1"/>
  <c r="AN23" i="43"/>
  <c r="M23" i="27" s="1"/>
  <c r="AN59" i="43"/>
  <c r="M59" i="27" s="1"/>
  <c r="AN22" i="42"/>
  <c r="L22" i="27" s="1"/>
  <c r="AN33" i="42"/>
  <c r="L33" i="27" s="1"/>
  <c r="AN11" i="42"/>
  <c r="L11" i="27" s="1"/>
  <c r="AN31" i="42"/>
  <c r="L31" i="27" s="1"/>
  <c r="AN42" i="42"/>
  <c r="L42" i="27" s="1"/>
  <c r="AN32" i="42"/>
  <c r="L32" i="27" s="1"/>
  <c r="AN38" i="42"/>
  <c r="L38" i="27" s="1"/>
  <c r="AN68" i="42"/>
  <c r="L68" i="27" s="1"/>
  <c r="AN27" i="42"/>
  <c r="L27" i="27" s="1"/>
  <c r="AN14" i="42"/>
  <c r="L14" i="27" s="1"/>
  <c r="AN20" i="42"/>
  <c r="L20" i="27" s="1"/>
  <c r="AN41" i="42"/>
  <c r="L41" i="27" s="1"/>
  <c r="AN37" i="42"/>
  <c r="L37" i="27" s="1"/>
  <c r="AN30" i="42"/>
  <c r="L30" i="27" s="1"/>
  <c r="AN65" i="42"/>
  <c r="L65" i="27" s="1"/>
  <c r="AN43" i="42"/>
  <c r="L43" i="27" s="1"/>
  <c r="AN35" i="42"/>
  <c r="L35" i="27" s="1"/>
  <c r="AN61" i="42"/>
  <c r="L61" i="27" s="1"/>
  <c r="AN51" i="42"/>
  <c r="L51" i="27" s="1"/>
  <c r="AN47" i="42"/>
  <c r="L47" i="27" s="1"/>
  <c r="AN53" i="42"/>
  <c r="L53" i="27" s="1"/>
  <c r="AN12" i="42"/>
  <c r="L12" i="27" s="1"/>
  <c r="AN34" i="42"/>
  <c r="L34" i="27" s="1"/>
  <c r="AN56" i="42"/>
  <c r="L56" i="27" s="1"/>
  <c r="AN59" i="42"/>
  <c r="L59" i="27" s="1"/>
  <c r="AN58" i="42"/>
  <c r="L58" i="27" s="1"/>
  <c r="AN32" i="41"/>
  <c r="AN17" i="41"/>
  <c r="AN50" i="41"/>
  <c r="AN11" i="41"/>
  <c r="AN64" i="41"/>
  <c r="AN12" i="41"/>
  <c r="AN68" i="41"/>
  <c r="AN14" i="41"/>
  <c r="AN28" i="41"/>
  <c r="AN20" i="41"/>
  <c r="AN46" i="41"/>
  <c r="AN51" i="41"/>
  <c r="AN31" i="41"/>
  <c r="AN44" i="41"/>
  <c r="AN65" i="41"/>
  <c r="AN63" i="41"/>
  <c r="AN34" i="41"/>
  <c r="AN26" i="41"/>
  <c r="AN24" i="41"/>
  <c r="AN23" i="41"/>
  <c r="AN49" i="41"/>
  <c r="AN40" i="41"/>
  <c r="AN38" i="41"/>
  <c r="AN13" i="41"/>
  <c r="AN67" i="41"/>
  <c r="AN59" i="41"/>
  <c r="AN21" i="41"/>
  <c r="AN58" i="41"/>
  <c r="AN30" i="41"/>
  <c r="AN35" i="41"/>
  <c r="AN53" i="41"/>
  <c r="AN37" i="41"/>
  <c r="AN56" i="41"/>
  <c r="AN48" i="41"/>
  <c r="AN15" i="41"/>
  <c r="AN47" i="41"/>
  <c r="AN39" i="41"/>
  <c r="AN57" i="41"/>
  <c r="AN45" i="41"/>
  <c r="AN18" i="41"/>
  <c r="AN10" i="41"/>
  <c r="AN62" i="41"/>
  <c r="AN26" i="40"/>
  <c r="AN15" i="40"/>
  <c r="AN9" i="40"/>
  <c r="AN59" i="40"/>
  <c r="AN66" i="40"/>
  <c r="AN10" i="40"/>
  <c r="AN34" i="40"/>
  <c r="AN47" i="40"/>
  <c r="AN25" i="40"/>
  <c r="AN39" i="40"/>
  <c r="AN23" i="40"/>
  <c r="AN32" i="40"/>
  <c r="AN30" i="40"/>
  <c r="AN38" i="40"/>
  <c r="AN24" i="40"/>
  <c r="AN54" i="40"/>
  <c r="AN41" i="40"/>
  <c r="AN64" i="40"/>
  <c r="AN48" i="40"/>
  <c r="AN19" i="40"/>
  <c r="AN37" i="40"/>
  <c r="AN62" i="40"/>
  <c r="AN65" i="40"/>
  <c r="AN11" i="40"/>
  <c r="AN44" i="40"/>
  <c r="AN68" i="40"/>
  <c r="AN50" i="40"/>
  <c r="AN36" i="40"/>
  <c r="AN40" i="40"/>
  <c r="AN43" i="40"/>
  <c r="AN37" i="39"/>
  <c r="AN34" i="39"/>
  <c r="AN67" i="39"/>
  <c r="AN31" i="39"/>
  <c r="AN64" i="39"/>
  <c r="AN28" i="39"/>
  <c r="AN56" i="39"/>
  <c r="AN55" i="39"/>
  <c r="AN19" i="39"/>
  <c r="AN52" i="39"/>
  <c r="AN16" i="39"/>
  <c r="AN47" i="39"/>
  <c r="AN25" i="39"/>
  <c r="AN38" i="39"/>
  <c r="AN22" i="39"/>
  <c r="AN49" i="39"/>
  <c r="AN13" i="39"/>
  <c r="AN29" i="39"/>
  <c r="AN55" i="38"/>
  <c r="AN19" i="38"/>
  <c r="AN35" i="38"/>
  <c r="AN43" i="38"/>
  <c r="AN32" i="38"/>
  <c r="AN40" i="38"/>
  <c r="AN38" i="38"/>
  <c r="AN29" i="38"/>
  <c r="AN37" i="38"/>
  <c r="AN26" i="38"/>
  <c r="AN34" i="38"/>
  <c r="AN62" i="38"/>
  <c r="AN31" i="38"/>
  <c r="AN35" i="37"/>
  <c r="G35" i="27" s="1"/>
  <c r="AN65" i="37"/>
  <c r="G65" i="27" s="1"/>
  <c r="AN38" i="37"/>
  <c r="G38" i="27" s="1"/>
  <c r="AN52" i="37"/>
  <c r="G52" i="27" s="1"/>
  <c r="AN58" i="37"/>
  <c r="G58" i="27" s="1"/>
  <c r="AN49" i="37"/>
  <c r="G49" i="27" s="1"/>
  <c r="AN44" i="37"/>
  <c r="G44" i="27" s="1"/>
  <c r="AN46" i="37"/>
  <c r="G46" i="27" s="1"/>
  <c r="AN48" i="37"/>
  <c r="G48" i="27" s="1"/>
  <c r="AN24" i="37"/>
  <c r="G24" i="27" s="1"/>
  <c r="AN55" i="37"/>
  <c r="G55" i="27" s="1"/>
  <c r="AN41" i="37"/>
  <c r="G41" i="27" s="1"/>
  <c r="AN68" i="37"/>
  <c r="G68" i="27" s="1"/>
  <c r="AN54" i="37"/>
  <c r="G54" i="27" s="1"/>
  <c r="AN57" i="37"/>
  <c r="G57" i="27" s="1"/>
  <c r="AN11" i="37"/>
  <c r="G11" i="27" s="1"/>
  <c r="AN47" i="37"/>
  <c r="G47" i="27" s="1"/>
  <c r="AN63" i="37"/>
  <c r="G63" i="27" s="1"/>
  <c r="AN43" i="37"/>
  <c r="G43" i="27" s="1"/>
  <c r="AN45" i="37"/>
  <c r="G45" i="27" s="1"/>
  <c r="AN17" i="37"/>
  <c r="G17" i="27" s="1"/>
  <c r="AN51" i="37"/>
  <c r="G51" i="27" s="1"/>
  <c r="AN64" i="37"/>
  <c r="G64" i="27" s="1"/>
  <c r="AN37" i="37"/>
  <c r="G37" i="27" s="1"/>
  <c r="AN39" i="37"/>
  <c r="G39" i="27" s="1"/>
  <c r="AN10" i="37"/>
  <c r="G10" i="27" s="1"/>
  <c r="AN29" i="37"/>
  <c r="G29" i="27" s="1"/>
  <c r="AN32" i="37"/>
  <c r="G32" i="27" s="1"/>
  <c r="AN14" i="37"/>
  <c r="G14" i="27" s="1"/>
  <c r="AN50" i="37"/>
  <c r="G50" i="27" s="1"/>
  <c r="AN40" i="37"/>
  <c r="G40" i="27" s="1"/>
  <c r="AN42" i="37"/>
  <c r="G42" i="27" s="1"/>
  <c r="AN53" i="37"/>
  <c r="G53" i="27" s="1"/>
  <c r="AN20" i="37"/>
  <c r="G20" i="27" s="1"/>
  <c r="AN56" i="37"/>
  <c r="G56" i="27" s="1"/>
  <c r="AN67" i="37"/>
  <c r="G67" i="27" s="1"/>
  <c r="AN34" i="37"/>
  <c r="G34" i="27" s="1"/>
  <c r="AN36" i="37"/>
  <c r="G36" i="27" s="1"/>
  <c r="AN60" i="37"/>
  <c r="G60" i="27" s="1"/>
  <c r="AN54" i="36"/>
  <c r="F54" i="27" s="1"/>
  <c r="AN63" i="36"/>
  <c r="F63" i="27" s="1"/>
  <c r="AN17" i="36"/>
  <c r="F17" i="27" s="1"/>
  <c r="AN49" i="36"/>
  <c r="F49" i="27" s="1"/>
  <c r="AN57" i="36"/>
  <c r="F57" i="27" s="1"/>
  <c r="AN60" i="36"/>
  <c r="F60" i="27" s="1"/>
  <c r="AN66" i="36"/>
  <c r="F66" i="27" s="1"/>
  <c r="AN56" i="36"/>
  <c r="F56" i="27" s="1"/>
  <c r="AN42" i="36"/>
  <c r="F42" i="27" s="1"/>
  <c r="AN43" i="36"/>
  <c r="F43" i="27" s="1"/>
  <c r="AN26" i="36"/>
  <c r="F26" i="27" s="1"/>
  <c r="AN36" i="36"/>
  <c r="F36" i="27" s="1"/>
  <c r="AN39" i="36"/>
  <c r="F39" i="27" s="1"/>
  <c r="AN53" i="36"/>
  <c r="F53" i="27" s="1"/>
  <c r="AN20" i="36"/>
  <c r="F20" i="27" s="1"/>
  <c r="AN47" i="36"/>
  <c r="F47" i="27" s="1"/>
  <c r="AN64" i="36"/>
  <c r="F64" i="27" s="1"/>
  <c r="AN23" i="36"/>
  <c r="F23" i="27" s="1"/>
  <c r="AN37" i="36"/>
  <c r="F37" i="27" s="1"/>
  <c r="AN31" i="36"/>
  <c r="F31" i="27" s="1"/>
  <c r="AN51" i="36"/>
  <c r="F51" i="27" s="1"/>
  <c r="AN45" i="36"/>
  <c r="F45" i="27" s="1"/>
  <c r="AN61" i="36"/>
  <c r="F61" i="27" s="1"/>
  <c r="AN65" i="36"/>
  <c r="F65" i="27" s="1"/>
  <c r="AN19" i="36"/>
  <c r="F19" i="27" s="1"/>
  <c r="AN58" i="36"/>
  <c r="F58" i="27" s="1"/>
  <c r="AN38" i="36"/>
  <c r="F38" i="27" s="1"/>
  <c r="AN14" i="36"/>
  <c r="F14" i="27" s="1"/>
  <c r="AN10" i="36"/>
  <c r="F10" i="27" s="1"/>
  <c r="AN32" i="36"/>
  <c r="F32" i="27" s="1"/>
  <c r="AN24" i="36"/>
  <c r="F24" i="27" s="1"/>
  <c r="AN52" i="36"/>
  <c r="F52" i="27" s="1"/>
  <c r="AN68" i="36"/>
  <c r="F68" i="27" s="1"/>
  <c r="AN22" i="36"/>
  <c r="F22" i="27" s="1"/>
  <c r="AN55" i="36"/>
  <c r="F55" i="27" s="1"/>
  <c r="AN12" i="36"/>
  <c r="F12" i="27" s="1"/>
  <c r="AN34" i="36"/>
  <c r="F34" i="27" s="1"/>
  <c r="AN50" i="36"/>
  <c r="F50" i="27" s="1"/>
  <c r="AN67" i="36"/>
  <c r="F67" i="27" s="1"/>
  <c r="AN40" i="36"/>
  <c r="F40" i="27" s="1"/>
  <c r="AN48" i="36"/>
  <c r="F48" i="27" s="1"/>
  <c r="AN29" i="36"/>
  <c r="F29" i="27" s="1"/>
  <c r="AN62" i="36"/>
  <c r="F62" i="27" s="1"/>
  <c r="AN11" i="36"/>
  <c r="F11" i="27" s="1"/>
  <c r="AN46" i="36"/>
  <c r="F46" i="27" s="1"/>
  <c r="AN35" i="36"/>
  <c r="F35" i="27" s="1"/>
  <c r="AN33" i="36"/>
  <c r="F33" i="27" s="1"/>
  <c r="AN25" i="35"/>
  <c r="E25" i="27" s="1"/>
  <c r="AN49" i="35"/>
  <c r="E49" i="27" s="1"/>
  <c r="AN62" i="35"/>
  <c r="E62" i="27" s="1"/>
  <c r="AN14" i="35"/>
  <c r="E14" i="27" s="1"/>
  <c r="AN46" i="35"/>
  <c r="E46" i="27" s="1"/>
  <c r="AN36" i="35"/>
  <c r="E36" i="27" s="1"/>
  <c r="AN42" i="35"/>
  <c r="E42" i="27" s="1"/>
  <c r="AN32" i="35"/>
  <c r="E32" i="27" s="1"/>
  <c r="AN17" i="35"/>
  <c r="E17" i="27" s="1"/>
  <c r="AN67" i="35"/>
  <c r="E67" i="27" s="1"/>
  <c r="AN64" i="35"/>
  <c r="E64" i="27" s="1"/>
  <c r="AN28" i="35"/>
  <c r="E28" i="27" s="1"/>
  <c r="AN40" i="35"/>
  <c r="E40" i="27" s="1"/>
  <c r="AN60" i="35"/>
  <c r="E60" i="27" s="1"/>
  <c r="AN23" i="35"/>
  <c r="E23" i="27" s="1"/>
  <c r="AN21" i="35"/>
  <c r="E21" i="27" s="1"/>
  <c r="AN20" i="35"/>
  <c r="E20" i="27" s="1"/>
  <c r="AN13" i="35"/>
  <c r="E13" i="27" s="1"/>
  <c r="AN38" i="35"/>
  <c r="E38" i="27" s="1"/>
  <c r="AN11" i="35"/>
  <c r="E11" i="27" s="1"/>
  <c r="AN59" i="35"/>
  <c r="E59" i="27" s="1"/>
  <c r="AN41" i="35"/>
  <c r="E41" i="27" s="1"/>
  <c r="AN53" i="35"/>
  <c r="E53" i="27" s="1"/>
  <c r="AN29" i="35"/>
  <c r="E29" i="27" s="1"/>
  <c r="AN18" i="35"/>
  <c r="E18" i="27" s="1"/>
  <c r="AN34" i="35"/>
  <c r="E34" i="27" s="1"/>
  <c r="AN54" i="35"/>
  <c r="E54" i="27" s="1"/>
  <c r="AN61" i="35"/>
  <c r="E61" i="27" s="1"/>
  <c r="AN68" i="35"/>
  <c r="E68" i="27" s="1"/>
  <c r="AN31" i="35"/>
  <c r="E31" i="27" s="1"/>
  <c r="AN37" i="35"/>
  <c r="E37" i="27" s="1"/>
  <c r="AN43" i="35"/>
  <c r="E43" i="27" s="1"/>
  <c r="AN44" i="35"/>
  <c r="E44" i="27" s="1"/>
  <c r="AN9" i="35"/>
  <c r="AN30" i="35"/>
  <c r="E30" i="27" s="1"/>
  <c r="AN43" i="32"/>
  <c r="C43" i="27" s="1"/>
  <c r="AN13" i="32"/>
  <c r="C13" i="27" s="1"/>
  <c r="AN22" i="32"/>
  <c r="C22" i="27" s="1"/>
  <c r="AN15" i="32"/>
  <c r="C15" i="27" s="1"/>
  <c r="AN21" i="32"/>
  <c r="C21" i="27" s="1"/>
  <c r="AN37" i="32"/>
  <c r="C37" i="27" s="1"/>
  <c r="AN11" i="32"/>
  <c r="C11" i="27" s="1"/>
  <c r="AN63" i="32"/>
  <c r="C63" i="27" s="1"/>
  <c r="AN33" i="32"/>
  <c r="C33" i="27" s="1"/>
  <c r="AN16" i="32"/>
  <c r="C16" i="27" s="1"/>
  <c r="AN14" i="32"/>
  <c r="C14" i="27" s="1"/>
  <c r="AN52" i="32"/>
  <c r="C52" i="27" s="1"/>
  <c r="AN67" i="32"/>
  <c r="C67" i="27" s="1"/>
  <c r="AN45" i="32"/>
  <c r="C45" i="27" s="1"/>
  <c r="AN61" i="32"/>
  <c r="C61" i="27" s="1"/>
  <c r="AN68" i="32"/>
  <c r="C68" i="27" s="1"/>
  <c r="AN49" i="32"/>
  <c r="C49" i="27" s="1"/>
  <c r="AN35" i="32"/>
  <c r="C35" i="27" s="1"/>
  <c r="AN58" i="32"/>
  <c r="C58" i="27" s="1"/>
  <c r="AN41" i="32"/>
  <c r="C41" i="27" s="1"/>
  <c r="AN23" i="32"/>
  <c r="C23" i="27" s="1"/>
  <c r="AN53" i="32"/>
  <c r="C53" i="27" s="1"/>
  <c r="AN50" i="32"/>
  <c r="C50" i="27" s="1"/>
  <c r="AN26" i="32"/>
  <c r="C26" i="27" s="1"/>
  <c r="AN59" i="32"/>
  <c r="C59" i="27" s="1"/>
  <c r="AN62" i="32"/>
  <c r="C62" i="27" s="1"/>
  <c r="AN36" i="32"/>
  <c r="C36" i="27" s="1"/>
  <c r="AN27" i="32"/>
  <c r="C27" i="27" s="1"/>
  <c r="AN30" i="32"/>
  <c r="C30" i="27" s="1"/>
  <c r="AN32" i="32"/>
  <c r="C32" i="27" s="1"/>
  <c r="AN24" i="32"/>
  <c r="C24" i="27" s="1"/>
  <c r="AN28" i="32"/>
  <c r="C28" i="27" s="1"/>
  <c r="AN44" i="32"/>
  <c r="C44" i="27" s="1"/>
  <c r="AN65" i="32"/>
  <c r="C65" i="27" s="1"/>
  <c r="AN47" i="32"/>
  <c r="C47" i="27" s="1"/>
  <c r="AN18" i="32"/>
  <c r="C18" i="27" s="1"/>
  <c r="AN56" i="32"/>
  <c r="C56" i="27" s="1"/>
  <c r="AN38" i="32"/>
  <c r="C38" i="27" s="1"/>
  <c r="AN29" i="32"/>
  <c r="C29" i="27" s="1"/>
  <c r="AN17" i="32"/>
  <c r="C17" i="27" s="1"/>
  <c r="AN42" i="32"/>
  <c r="C42" i="27" s="1"/>
  <c r="AN66" i="32"/>
  <c r="C66" i="27" s="1"/>
  <c r="AN40" i="32"/>
  <c r="C40" i="27" s="1"/>
  <c r="AN31" i="32"/>
  <c r="C31" i="27" s="1"/>
  <c r="AY13" i="8"/>
  <c r="BA16" i="8"/>
  <c r="AN16" i="8" s="1"/>
  <c r="D16" i="27" s="1"/>
  <c r="BA18" i="8"/>
  <c r="BA34" i="8"/>
  <c r="AN34" i="8" s="1"/>
  <c r="D34" i="27" s="1"/>
  <c r="AY22" i="8"/>
  <c r="AY21" i="8"/>
  <c r="BA40" i="8"/>
  <c r="AY35" i="8"/>
  <c r="AY49" i="8"/>
  <c r="BA17" i="8"/>
  <c r="AY40" i="8"/>
  <c r="AY28" i="8"/>
  <c r="BA39" i="8"/>
  <c r="AY48" i="8"/>
  <c r="AY52" i="8"/>
  <c r="AN52" i="8" s="1"/>
  <c r="D52" i="27" s="1"/>
  <c r="BA62" i="8"/>
  <c r="BA42" i="8"/>
  <c r="BA19" i="8"/>
  <c r="BA20" i="8"/>
  <c r="AY56" i="8"/>
  <c r="BA14" i="8"/>
  <c r="AY24" i="8"/>
  <c r="BA36" i="8"/>
  <c r="BA57" i="8"/>
  <c r="BA22" i="8"/>
  <c r="BA31" i="8"/>
  <c r="BA61" i="8"/>
  <c r="BA43" i="8"/>
  <c r="BA68" i="8"/>
  <c r="AY29" i="8"/>
  <c r="AY54" i="8"/>
  <c r="AY61" i="8"/>
  <c r="BA28" i="8"/>
  <c r="BA41" i="8"/>
  <c r="BA49" i="8"/>
  <c r="AY27" i="8"/>
  <c r="AY51" i="8"/>
  <c r="BA55" i="8"/>
  <c r="AN55" i="8" s="1"/>
  <c r="D55" i="27" s="1"/>
  <c r="AY39" i="8"/>
  <c r="AY31" i="8"/>
  <c r="AY65" i="8"/>
  <c r="AY45" i="8"/>
  <c r="BA48" i="8"/>
  <c r="AY30" i="8"/>
  <c r="BA67" i="8"/>
  <c r="AY12" i="8"/>
  <c r="AY68" i="8"/>
  <c r="BA47" i="8"/>
  <c r="AY20" i="8"/>
  <c r="BA26" i="8"/>
  <c r="AY17" i="8"/>
  <c r="BA46" i="8"/>
  <c r="AY46" i="8"/>
  <c r="AY67" i="8"/>
  <c r="AY36" i="8"/>
  <c r="BA45" i="8"/>
  <c r="BA38" i="8"/>
  <c r="AY53" i="8"/>
  <c r="BA21" i="8"/>
  <c r="AY15" i="8"/>
  <c r="AY58" i="8"/>
  <c r="AN58" i="8" s="1"/>
  <c r="D58" i="27" s="1"/>
  <c r="BA25" i="8"/>
  <c r="AN25" i="8" s="1"/>
  <c r="D25" i="27" s="1"/>
  <c r="BA27" i="8"/>
  <c r="AY19" i="8"/>
  <c r="AY66" i="8"/>
  <c r="BA64" i="8"/>
  <c r="BA37" i="8"/>
  <c r="BA9" i="8"/>
  <c r="AN9" i="8" s="1"/>
  <c r="BA50" i="8"/>
  <c r="AP9" i="8"/>
  <c r="AS9" i="8" s="1"/>
  <c r="Q13" i="31" s="1"/>
  <c r="AW19" i="8"/>
  <c r="BA29" i="8"/>
  <c r="AW50" i="8"/>
  <c r="AX14" i="8"/>
  <c r="AX50" i="8"/>
  <c r="AX42" i="8"/>
  <c r="AX47" i="8"/>
  <c r="AX59" i="8"/>
  <c r="AX51" i="8"/>
  <c r="AX30" i="8"/>
  <c r="AX62" i="8"/>
  <c r="AX23" i="8"/>
  <c r="AX44" i="8"/>
  <c r="AX54" i="8"/>
  <c r="AX66" i="8"/>
  <c r="AX26" i="8"/>
  <c r="AX38" i="8"/>
  <c r="AX18" i="8"/>
  <c r="AX39" i="8"/>
  <c r="AX32" i="8"/>
  <c r="AX11" i="8"/>
  <c r="AX68" i="8"/>
  <c r="AX36" i="8"/>
  <c r="AX45" i="8"/>
  <c r="AX57" i="8"/>
  <c r="AX15" i="8"/>
  <c r="AX24" i="8"/>
  <c r="BA12" i="8"/>
  <c r="BA60" i="8"/>
  <c r="AN60" i="8" s="1"/>
  <c r="D60" i="27" s="1"/>
  <c r="AX40" i="8"/>
  <c r="AW27" i="8"/>
  <c r="BA51" i="8"/>
  <c r="AW31" i="8"/>
  <c r="AY62" i="8"/>
  <c r="AY10" i="8"/>
  <c r="AN10" i="8" s="1"/>
  <c r="D10" i="27" s="1"/>
  <c r="AY64" i="8"/>
  <c r="AY33" i="8"/>
  <c r="AN33" i="8" s="1"/>
  <c r="D33" i="27" s="1"/>
  <c r="BA56" i="8"/>
  <c r="AX61" i="8"/>
  <c r="AW22" i="8"/>
  <c r="AW53" i="8"/>
  <c r="AW32" i="8"/>
  <c r="BA65" i="8"/>
  <c r="BA32" i="8"/>
  <c r="BA59" i="8"/>
  <c r="AW20" i="8"/>
  <c r="AW23" i="8"/>
  <c r="AW44" i="8"/>
  <c r="AW11" i="8"/>
  <c r="BA53" i="8"/>
  <c r="BA23" i="8"/>
  <c r="BA44" i="8"/>
  <c r="AW59" i="8"/>
  <c r="AW68" i="8"/>
  <c r="BA24" i="8"/>
  <c r="BA11" i="8"/>
  <c r="BA35" i="8"/>
  <c r="AW47" i="8"/>
  <c r="BA54" i="8"/>
  <c r="AW15" i="8"/>
  <c r="AW48" i="8"/>
  <c r="AW17" i="8"/>
  <c r="AY14" i="8"/>
  <c r="AY50" i="8"/>
  <c r="AY23" i="8"/>
  <c r="AY44" i="8"/>
  <c r="AY11" i="8"/>
  <c r="AY47" i="8"/>
  <c r="AY59" i="8"/>
  <c r="AY38" i="8"/>
  <c r="AY32" i="8"/>
  <c r="BA15" i="8"/>
  <c r="BA66" i="8"/>
  <c r="AX43" i="8"/>
  <c r="AW43" i="8"/>
  <c r="BA63" i="8"/>
  <c r="AN63" i="8" s="1"/>
  <c r="D63" i="27" s="1"/>
  <c r="AW39" i="8"/>
  <c r="AX27" i="8"/>
  <c r="AX12" i="8"/>
  <c r="AW21" i="8"/>
  <c r="AY41" i="8"/>
  <c r="AW56" i="8"/>
  <c r="AW13" i="8"/>
  <c r="AY37" i="8"/>
  <c r="AW26" i="8"/>
  <c r="AX17" i="8"/>
  <c r="AW66" i="8"/>
  <c r="BC5" i="8"/>
  <c r="K26" i="27"/>
  <c r="H24" i="27"/>
  <c r="I18" i="27"/>
  <c r="I17" i="27"/>
  <c r="I61" i="27"/>
  <c r="J13" i="27"/>
  <c r="I41" i="27"/>
  <c r="H30" i="27"/>
  <c r="J42" i="27"/>
  <c r="H35" i="27"/>
  <c r="J65" i="27"/>
  <c r="K41" i="27"/>
  <c r="K64" i="27"/>
  <c r="K62" i="27"/>
  <c r="H18" i="27"/>
  <c r="H45" i="27"/>
  <c r="K38" i="27"/>
  <c r="I47" i="27"/>
  <c r="I65" i="27"/>
  <c r="K32" i="27"/>
  <c r="I44" i="27"/>
  <c r="J51" i="27"/>
  <c r="K30" i="27"/>
  <c r="I64" i="27"/>
  <c r="K47" i="27"/>
  <c r="I58" i="27"/>
  <c r="J37" i="27"/>
  <c r="H68" i="27"/>
  <c r="K51" i="27"/>
  <c r="J22" i="27"/>
  <c r="H19" i="27"/>
  <c r="J9" i="27"/>
  <c r="J48" i="27"/>
  <c r="K65" i="27"/>
  <c r="J15" i="27"/>
  <c r="H63" i="27"/>
  <c r="J29" i="27"/>
  <c r="K22" i="27"/>
  <c r="K13" i="27"/>
  <c r="I35" i="27"/>
  <c r="I53" i="27"/>
  <c r="I9" i="27"/>
  <c r="H21" i="27"/>
  <c r="I10" i="27"/>
  <c r="I43" i="27"/>
  <c r="J44" i="27"/>
  <c r="I37" i="27"/>
  <c r="J21" i="27"/>
  <c r="H10" i="27"/>
  <c r="H52" i="27"/>
  <c r="K39" i="27"/>
  <c r="H28" i="27"/>
  <c r="K18" i="27"/>
  <c r="I40" i="27"/>
  <c r="K58" i="27"/>
  <c r="I46" i="27"/>
  <c r="I29" i="27"/>
  <c r="I36" i="27"/>
  <c r="K27" i="27"/>
  <c r="K9" i="27"/>
  <c r="H59" i="27"/>
  <c r="J27" i="27"/>
  <c r="M24" i="31"/>
  <c r="H43" i="27"/>
  <c r="J31" i="27"/>
  <c r="H38" i="27"/>
  <c r="H61" i="27"/>
  <c r="J19" i="27"/>
  <c r="K59" i="27"/>
  <c r="J33" i="27"/>
  <c r="K67" i="27"/>
  <c r="K16" i="27"/>
  <c r="I21" i="27"/>
  <c r="K12" i="27"/>
  <c r="J60" i="27"/>
  <c r="J16" i="27"/>
  <c r="J30" i="27"/>
  <c r="K49" i="27"/>
  <c r="J32" i="27"/>
  <c r="K31" i="27"/>
  <c r="I14" i="27"/>
  <c r="J28" i="27"/>
  <c r="H12" i="27"/>
  <c r="J53" i="27"/>
  <c r="I38" i="27"/>
  <c r="I20" i="27"/>
  <c r="H27" i="27"/>
  <c r="J59" i="27"/>
  <c r="J66" i="27"/>
  <c r="H41" i="27"/>
  <c r="K66" i="27"/>
  <c r="K17" i="27"/>
  <c r="I11" i="27"/>
  <c r="H16" i="27"/>
  <c r="K29" i="27"/>
  <c r="K24" i="27"/>
  <c r="H29" i="27"/>
  <c r="J34" i="27"/>
  <c r="J46" i="27"/>
  <c r="I26" i="27"/>
  <c r="J67" i="27"/>
  <c r="H58" i="27"/>
  <c r="K40" i="27"/>
  <c r="J38" i="27"/>
  <c r="K53" i="27"/>
  <c r="I68" i="27"/>
  <c r="K50" i="27"/>
  <c r="J68" i="27"/>
  <c r="I32" i="27"/>
  <c r="I25" i="27"/>
  <c r="I50" i="27"/>
  <c r="H22" i="27"/>
  <c r="H37" i="27"/>
  <c r="J14" i="27"/>
  <c r="K35" i="27"/>
  <c r="K54" i="27"/>
  <c r="H50" i="27"/>
  <c r="H32" i="27"/>
  <c r="J49" i="27"/>
  <c r="H47" i="27"/>
  <c r="I12" i="27"/>
  <c r="I56" i="27"/>
  <c r="H67" i="27"/>
  <c r="M31" i="31"/>
  <c r="J40" i="27"/>
  <c r="I57" i="27"/>
  <c r="K37" i="27"/>
  <c r="K56" i="27"/>
  <c r="K34" i="27"/>
  <c r="I54" i="27"/>
  <c r="K14" i="27"/>
  <c r="K25" i="27"/>
  <c r="J56" i="27"/>
  <c r="H56" i="27"/>
  <c r="J24" i="27"/>
  <c r="K57" i="27"/>
  <c r="K55" i="27"/>
  <c r="K44" i="27"/>
  <c r="K68" i="27"/>
  <c r="H62" i="27"/>
  <c r="I39" i="27"/>
  <c r="J63" i="27"/>
  <c r="I59" i="27"/>
  <c r="J36" i="27"/>
  <c r="H36" i="27"/>
  <c r="J62" i="27"/>
  <c r="I22" i="27"/>
  <c r="H64" i="27"/>
  <c r="K20" i="27"/>
  <c r="J50" i="27"/>
  <c r="J11" i="27"/>
  <c r="I45" i="27"/>
  <c r="K33" i="27"/>
  <c r="J20" i="27"/>
  <c r="J17" i="27"/>
  <c r="J57" i="27"/>
  <c r="K46" i="27"/>
  <c r="I62" i="27"/>
  <c r="I31" i="27"/>
  <c r="I49" i="27"/>
  <c r="K11" i="27"/>
  <c r="J12" i="27"/>
  <c r="J47" i="27"/>
  <c r="H65" i="27"/>
  <c r="K36" i="27"/>
  <c r="I63" i="27"/>
  <c r="H26" i="27"/>
  <c r="M29" i="31"/>
  <c r="J10" i="27"/>
  <c r="K21" i="27"/>
  <c r="J23" i="27"/>
  <c r="J41" i="27"/>
  <c r="H46" i="27"/>
  <c r="I19" i="27"/>
  <c r="J64" i="27"/>
  <c r="K63" i="27"/>
  <c r="K10" i="27"/>
  <c r="H40" i="27"/>
  <c r="J39" i="27"/>
  <c r="I51" i="27"/>
  <c r="I28" i="27"/>
  <c r="J58" i="27"/>
  <c r="J54" i="27"/>
  <c r="I55" i="27"/>
  <c r="J45" i="27"/>
  <c r="H34" i="27"/>
  <c r="H13" i="27"/>
  <c r="K15" i="27"/>
  <c r="J35" i="27"/>
  <c r="J18" i="27"/>
  <c r="K48" i="27"/>
  <c r="K60" i="27"/>
  <c r="I52" i="27"/>
  <c r="H49" i="27"/>
  <c r="H54" i="27"/>
  <c r="I34" i="27"/>
  <c r="K45" i="27"/>
  <c r="J26" i="27"/>
  <c r="J25" i="27"/>
  <c r="I16" i="27"/>
  <c r="H31" i="27"/>
  <c r="K23" i="27"/>
  <c r="H25" i="27"/>
  <c r="K28" i="27"/>
  <c r="K19" i="27"/>
  <c r="K42" i="27"/>
  <c r="H55" i="27"/>
  <c r="H53" i="27"/>
  <c r="I67" i="27"/>
  <c r="I23" i="27"/>
  <c r="H44" i="27"/>
  <c r="J55" i="27"/>
  <c r="I13" i="27"/>
  <c r="I33" i="27"/>
  <c r="U52" i="27" l="1"/>
  <c r="U63" i="27"/>
  <c r="U34" i="27"/>
  <c r="U33" i="27"/>
  <c r="U58" i="27"/>
  <c r="U55" i="27"/>
  <c r="U16" i="27"/>
  <c r="U60" i="27"/>
  <c r="U25" i="27"/>
  <c r="M44" i="31"/>
  <c r="Q9" i="27"/>
  <c r="Q73" i="27" s="1"/>
  <c r="M42" i="31"/>
  <c r="P9" i="27"/>
  <c r="P73" i="27" s="1"/>
  <c r="M40" i="31"/>
  <c r="O9" i="27"/>
  <c r="O73" i="27" s="1"/>
  <c r="M38" i="31"/>
  <c r="N9" i="27"/>
  <c r="N73" i="27" s="1"/>
  <c r="M35" i="31"/>
  <c r="M9" i="27"/>
  <c r="M70" i="27" s="1"/>
  <c r="M71" i="27" s="1"/>
  <c r="M33" i="31"/>
  <c r="L9" i="27"/>
  <c r="L72" i="27" s="1"/>
  <c r="M19" i="31"/>
  <c r="G9" i="27"/>
  <c r="G69" i="27" s="1"/>
  <c r="M17" i="31"/>
  <c r="F9" i="27"/>
  <c r="F70" i="27" s="1"/>
  <c r="F71" i="27" s="1"/>
  <c r="M15" i="31"/>
  <c r="E9" i="27"/>
  <c r="E72" i="27" s="1"/>
  <c r="M13" i="31"/>
  <c r="D9" i="27"/>
  <c r="R70" i="27"/>
  <c r="R71" i="27" s="1"/>
  <c r="C72" i="27"/>
  <c r="C69" i="27"/>
  <c r="R69" i="27"/>
  <c r="R73" i="27"/>
  <c r="R72" i="27"/>
  <c r="J72" i="27"/>
  <c r="J69" i="27"/>
  <c r="J70" i="27"/>
  <c r="J71" i="27" s="1"/>
  <c r="J73" i="27"/>
  <c r="K69" i="27"/>
  <c r="K73" i="27"/>
  <c r="K72" i="27"/>
  <c r="K70" i="27"/>
  <c r="K71" i="27" s="1"/>
  <c r="I73" i="27"/>
  <c r="I69" i="27"/>
  <c r="I70" i="27"/>
  <c r="I71" i="27" s="1"/>
  <c r="I72" i="27"/>
  <c r="H69" i="27"/>
  <c r="H72" i="27"/>
  <c r="H73" i="27"/>
  <c r="H70" i="27"/>
  <c r="H71" i="27" s="1"/>
  <c r="C73" i="27"/>
  <c r="C70" i="27"/>
  <c r="C71" i="27" s="1"/>
  <c r="AN13" i="8"/>
  <c r="D13" i="27" s="1"/>
  <c r="AN42" i="8"/>
  <c r="D42" i="27" s="1"/>
  <c r="AN43" i="8"/>
  <c r="D43" i="27" s="1"/>
  <c r="AN22" i="8"/>
  <c r="D22" i="27" s="1"/>
  <c r="AN62" i="8"/>
  <c r="D62" i="27" s="1"/>
  <c r="AN65" i="8"/>
  <c r="D65" i="27" s="1"/>
  <c r="AN31" i="8"/>
  <c r="D31" i="27" s="1"/>
  <c r="AN17" i="8"/>
  <c r="D17" i="27" s="1"/>
  <c r="AN61" i="8"/>
  <c r="D61" i="27" s="1"/>
  <c r="AN29" i="8"/>
  <c r="D29" i="27" s="1"/>
  <c r="AN15" i="8"/>
  <c r="D15" i="27" s="1"/>
  <c r="AN30" i="8"/>
  <c r="D30" i="27" s="1"/>
  <c r="AN67" i="8"/>
  <c r="D67" i="27" s="1"/>
  <c r="AN26" i="8"/>
  <c r="D26" i="27" s="1"/>
  <c r="AN28" i="8"/>
  <c r="D28" i="27" s="1"/>
  <c r="AN39" i="8"/>
  <c r="D39" i="27" s="1"/>
  <c r="AN18" i="8"/>
  <c r="D18" i="27" s="1"/>
  <c r="AN36" i="8"/>
  <c r="D36" i="27" s="1"/>
  <c r="AN49" i="8"/>
  <c r="D49" i="27" s="1"/>
  <c r="AN54" i="8"/>
  <c r="D54" i="27" s="1"/>
  <c r="AN38" i="8"/>
  <c r="D38" i="27" s="1"/>
  <c r="AN19" i="8"/>
  <c r="D19" i="27" s="1"/>
  <c r="AN35" i="8"/>
  <c r="D35" i="27" s="1"/>
  <c r="AN64" i="8"/>
  <c r="D64" i="27" s="1"/>
  <c r="AN46" i="8"/>
  <c r="D46" i="27" s="1"/>
  <c r="AN45" i="8"/>
  <c r="D45" i="27" s="1"/>
  <c r="AN51" i="8"/>
  <c r="D51" i="27" s="1"/>
  <c r="AN12" i="8"/>
  <c r="D12" i="27" s="1"/>
  <c r="AN41" i="8"/>
  <c r="D41" i="27" s="1"/>
  <c r="AN57" i="8"/>
  <c r="D57" i="27" s="1"/>
  <c r="AN53" i="8"/>
  <c r="D53" i="27" s="1"/>
  <c r="AN66" i="8"/>
  <c r="D66" i="27" s="1"/>
  <c r="AN48" i="8"/>
  <c r="D48" i="27" s="1"/>
  <c r="AN27" i="8"/>
  <c r="D27" i="27" s="1"/>
  <c r="AN37" i="8"/>
  <c r="D37" i="27" s="1"/>
  <c r="AN40" i="8"/>
  <c r="D40" i="27" s="1"/>
  <c r="AN14" i="8"/>
  <c r="D14" i="27" s="1"/>
  <c r="AN50" i="8"/>
  <c r="D50" i="27" s="1"/>
  <c r="AN21" i="8"/>
  <c r="D21" i="27" s="1"/>
  <c r="AN47" i="8"/>
  <c r="D47" i="27" s="1"/>
  <c r="AN20" i="8"/>
  <c r="D20" i="27" s="1"/>
  <c r="AN68" i="8"/>
  <c r="D68" i="27" s="1"/>
  <c r="AN59" i="8"/>
  <c r="D59" i="27" s="1"/>
  <c r="AN11" i="8"/>
  <c r="D11" i="27" s="1"/>
  <c r="AN32" i="8"/>
  <c r="D32" i="27" s="1"/>
  <c r="AN44" i="8"/>
  <c r="D44" i="27" s="1"/>
  <c r="AN23" i="8"/>
  <c r="D23" i="27" s="1"/>
  <c r="AN24" i="8"/>
  <c r="D24" i="27" s="1"/>
  <c r="AN56" i="8"/>
  <c r="D56" i="27" s="1"/>
  <c r="F3" i="6"/>
  <c r="J3" i="6"/>
  <c r="N3" i="6"/>
  <c r="R3" i="6"/>
  <c r="V3" i="6"/>
  <c r="O70" i="27" l="1"/>
  <c r="O71" i="27" s="1"/>
  <c r="E69" i="27"/>
  <c r="E73" i="27"/>
  <c r="E70" i="27"/>
  <c r="E71" i="27" s="1"/>
  <c r="O69" i="27"/>
  <c r="P69" i="27"/>
  <c r="P70" i="27"/>
  <c r="P71" i="27" s="1"/>
  <c r="P72" i="27"/>
  <c r="O72" i="27"/>
  <c r="M73" i="27"/>
  <c r="F72" i="27"/>
  <c r="F73" i="27"/>
  <c r="Q70" i="27"/>
  <c r="Q71" i="27" s="1"/>
  <c r="Q72" i="27"/>
  <c r="Q69" i="27"/>
  <c r="L69" i="27"/>
  <c r="L70" i="27"/>
  <c r="L71" i="27" s="1"/>
  <c r="G70" i="27"/>
  <c r="G71" i="27" s="1"/>
  <c r="G73" i="27"/>
  <c r="G72" i="27"/>
  <c r="F69" i="27"/>
  <c r="U14" i="27"/>
  <c r="U30" i="27"/>
  <c r="U61" i="27"/>
  <c r="U31" i="27"/>
  <c r="U38" i="27"/>
  <c r="U21" i="27"/>
  <c r="U66" i="27"/>
  <c r="U62" i="27"/>
  <c r="U50" i="27"/>
  <c r="U49" i="27"/>
  <c r="U32" i="27"/>
  <c r="U56" i="27"/>
  <c r="U24" i="27"/>
  <c r="U35" i="27"/>
  <c r="U41" i="27"/>
  <c r="U40" i="27"/>
  <c r="U23" i="27"/>
  <c r="M69" i="27"/>
  <c r="M72" i="27"/>
  <c r="L73" i="27"/>
  <c r="N72" i="27"/>
  <c r="N70" i="27"/>
  <c r="N71" i="27" s="1"/>
  <c r="N69" i="27"/>
  <c r="U11" i="27"/>
  <c r="U27" i="27"/>
  <c r="U17" i="27"/>
  <c r="U15" i="27"/>
  <c r="U44" i="27"/>
  <c r="U53" i="27"/>
  <c r="U68" i="27"/>
  <c r="D72" i="27"/>
  <c r="U37" i="27"/>
  <c r="U22" i="27"/>
  <c r="U51" i="27"/>
  <c r="U28" i="27"/>
  <c r="U45" i="27"/>
  <c r="U43" i="27"/>
  <c r="U42" i="27"/>
  <c r="U26" i="27"/>
  <c r="U20" i="27"/>
  <c r="U12" i="27"/>
  <c r="U46" i="27"/>
  <c r="D73" i="27"/>
  <c r="U18" i="27"/>
  <c r="U47" i="27"/>
  <c r="U48" i="27"/>
  <c r="U54" i="27"/>
  <c r="U29" i="27"/>
  <c r="U13" i="27"/>
  <c r="U67" i="27"/>
  <c r="U19" i="27"/>
  <c r="U39" i="27"/>
  <c r="U64" i="27"/>
  <c r="D70" i="27"/>
  <c r="D71" i="27" s="1"/>
  <c r="U57" i="27"/>
  <c r="U36" i="27"/>
  <c r="U65" i="27"/>
  <c r="U59" i="27"/>
  <c r="D69" i="27"/>
  <c r="AT3" i="6"/>
  <c r="AP3" i="6"/>
  <c r="AL3" i="6"/>
  <c r="AH3" i="6"/>
  <c r="AD3" i="6"/>
  <c r="Z3" i="6"/>
  <c r="A5" i="1"/>
  <c r="B12" i="1"/>
  <c r="F8" i="5"/>
  <c r="U10" i="27" l="1"/>
  <c r="U9" i="27"/>
  <c r="C15" i="28" s="1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<sst xmlns="http://schemas.openxmlformats.org/spreadsheetml/2006/main" count="1195" uniqueCount="478">
  <si>
    <t>PROFIL SEKOLAH</t>
  </si>
  <si>
    <t>:</t>
  </si>
  <si>
    <t>Dinas Pendidikan</t>
  </si>
  <si>
    <t>NISN/NIS/NSS</t>
  </si>
  <si>
    <t>NPSN</t>
  </si>
  <si>
    <t>Jl. Siliwangi, No. 355</t>
  </si>
  <si>
    <t>Padaasih</t>
  </si>
  <si>
    <t>Cisaat</t>
  </si>
  <si>
    <t>Sukabumi</t>
  </si>
  <si>
    <t>Jawa Barat</t>
  </si>
  <si>
    <t>-</t>
  </si>
  <si>
    <t>Asep Agus Permana, S.Pd., SD.</t>
  </si>
  <si>
    <t>Adnan Abdillah, S.Pd.</t>
  </si>
  <si>
    <t>sdncicohag49@gmail.com</t>
  </si>
  <si>
    <t>V</t>
  </si>
  <si>
    <t>C</t>
  </si>
  <si>
    <t>DATA UTAMA</t>
  </si>
  <si>
    <t>EKSTRAKURIKULER</t>
  </si>
  <si>
    <t>INPUT NILAI</t>
  </si>
  <si>
    <t>CATATAN</t>
  </si>
  <si>
    <t>NAMA INSTANSI</t>
  </si>
  <si>
    <t>NAMA SEKOLAH</t>
  </si>
  <si>
    <t>ALAMAT SEKOLAH</t>
  </si>
  <si>
    <t>DESA/KELURAHAN</t>
  </si>
  <si>
    <t>KECAMATAN</t>
  </si>
  <si>
    <t>KABUPATEN/KOTA</t>
  </si>
  <si>
    <t>PROVINSI</t>
  </si>
  <si>
    <t>KODE POS</t>
  </si>
  <si>
    <t>WEBSITE</t>
  </si>
  <si>
    <t>TELP.</t>
  </si>
  <si>
    <t>KEPALA SEKOLAH</t>
  </si>
  <si>
    <t>EMAIL SEKOLAH</t>
  </si>
  <si>
    <t>NIP KEPALA SEKOLAH</t>
  </si>
  <si>
    <t>GURU KELAS</t>
  </si>
  <si>
    <t>NIP GURU KELAS</t>
  </si>
  <si>
    <t>TEMPAT</t>
  </si>
  <si>
    <t>TANGGAL RAPOR</t>
  </si>
  <si>
    <t>KELAS</t>
  </si>
  <si>
    <t>FASE</t>
  </si>
  <si>
    <t>TAHUN PELAJARAN</t>
  </si>
  <si>
    <t>SEMESTER</t>
  </si>
  <si>
    <t>2025/2026</t>
  </si>
  <si>
    <t>26 Juni 2026</t>
  </si>
  <si>
    <t>SD Negeri Cicohag</t>
  </si>
  <si>
    <t>Tempat lahir</t>
  </si>
  <si>
    <t>Tanggal lahir</t>
  </si>
  <si>
    <t>Jenis Kelamin</t>
  </si>
  <si>
    <t>Agama</t>
  </si>
  <si>
    <t>Pendidikan sebelumnya</t>
  </si>
  <si>
    <t>Alamat Peserta Didik</t>
  </si>
  <si>
    <t>Nama Orangtua</t>
  </si>
  <si>
    <t>Pekerjaan Orangtua</t>
  </si>
  <si>
    <t>Alamat Orangtua</t>
  </si>
  <si>
    <t>NO</t>
  </si>
  <si>
    <t>NISN</t>
  </si>
  <si>
    <t>NIS</t>
  </si>
  <si>
    <t>NAMA</t>
  </si>
  <si>
    <t>Ayah</t>
  </si>
  <si>
    <t>Ibu</t>
  </si>
  <si>
    <t>Jalan/Kp</t>
  </si>
  <si>
    <t>Desa/Kelurahan</t>
  </si>
  <si>
    <t>Kecamatan</t>
  </si>
  <si>
    <t>Kabupaten / Kota</t>
  </si>
  <si>
    <t>Provinsi</t>
  </si>
  <si>
    <t>Nama</t>
  </si>
  <si>
    <t>Pekerjaan</t>
  </si>
  <si>
    <t>Alamat</t>
  </si>
  <si>
    <t>DATA RAPOR</t>
  </si>
  <si>
    <t>Wali Peserta Didik</t>
  </si>
  <si>
    <t>Abhy Arfa Ridho Hibatullah</t>
  </si>
  <si>
    <t>Panggilan</t>
  </si>
  <si>
    <t>Abhy</t>
  </si>
  <si>
    <t>Islam</t>
  </si>
  <si>
    <t>KP. PASIR POGOR</t>
  </si>
  <si>
    <t>HADI PIRANDANI</t>
  </si>
  <si>
    <t>MUTIARA</t>
  </si>
  <si>
    <t>KARYAWAN SWASTA</t>
  </si>
  <si>
    <t>Ibu Rumah Tangga</t>
  </si>
  <si>
    <t>CICANTAYAN</t>
  </si>
  <si>
    <t>SUKABUMI</t>
  </si>
  <si>
    <t>JUMLAH SISWA</t>
  </si>
  <si>
    <t>No</t>
  </si>
  <si>
    <t>MUATAN/MATA PELAJARAN</t>
  </si>
  <si>
    <t>Seni Pilihan</t>
  </si>
  <si>
    <t>Seni Rupa</t>
  </si>
  <si>
    <t>Pendidikan Jasmani, Olahraga, dan Kesehatan</t>
  </si>
  <si>
    <t>Bahasa inggris</t>
  </si>
  <si>
    <t>Muatan Lokal</t>
  </si>
  <si>
    <t>a.</t>
  </si>
  <si>
    <t>b.</t>
  </si>
  <si>
    <t>c.</t>
  </si>
  <si>
    <t>d.</t>
  </si>
  <si>
    <t>e.</t>
  </si>
  <si>
    <t>Pendidikan Agama dan Budi Pekerti</t>
  </si>
  <si>
    <t>Pendidikan Pancasila</t>
  </si>
  <si>
    <t>Bahasa Indonesia</t>
  </si>
  <si>
    <t>Matematika</t>
  </si>
  <si>
    <t>Ilmu Pengetahuan Alam dan Sosial</t>
  </si>
  <si>
    <t>BOBOT NILAI RAPOR</t>
  </si>
  <si>
    <t>SUMATIF TUJUAN PEMBELAJARAN</t>
  </si>
  <si>
    <t>SUMATIF LINGKUP MATERI</t>
  </si>
  <si>
    <t>SUMATIF AKHIR SEMESTER</t>
  </si>
  <si>
    <t>S. TP</t>
  </si>
  <si>
    <t>S. LM</t>
  </si>
  <si>
    <t>S. AS</t>
  </si>
  <si>
    <r>
      <rPr>
        <b/>
        <sz val="28"/>
        <color theme="1"/>
        <rFont val="Times New Roman"/>
        <family val="1"/>
      </rPr>
      <t>RAPOR</t>
    </r>
    <r>
      <rPr>
        <sz val="16"/>
        <color theme="1"/>
        <rFont val="Times New Roman"/>
        <family val="1"/>
      </rPr>
      <t xml:space="preserve">
KURIKULUM MERDEKA</t>
    </r>
  </si>
  <si>
    <t>Lingkup Materi</t>
  </si>
  <si>
    <t>Tujuan Pembelajaran (TP)</t>
  </si>
  <si>
    <r>
      <rPr>
        <b/>
        <sz val="8"/>
        <color theme="1"/>
        <rFont val="Times New Roman"/>
        <family val="1"/>
      </rPr>
      <t>KODE</t>
    </r>
    <r>
      <rPr>
        <b/>
        <sz val="11"/>
        <color theme="1"/>
        <rFont val="Times New Roman"/>
        <family val="1"/>
      </rPr>
      <t xml:space="preserve">
TP</t>
    </r>
  </si>
  <si>
    <t>Seni Musik</t>
  </si>
  <si>
    <t>Seni Tari</t>
  </si>
  <si>
    <t>Seni Teater</t>
  </si>
  <si>
    <t>Bahasa Sunda</t>
  </si>
  <si>
    <t>Menyayangi Anak Yatim</t>
  </si>
  <si>
    <t>Lebih Dekat dengan Nama-Nama Allah</t>
  </si>
  <si>
    <t>Aku Anak Saleh</t>
  </si>
  <si>
    <t>Hidup Lapang  Dengan Berbagi</t>
  </si>
  <si>
    <t>Meneladani Perjuangan Rasulullah</t>
  </si>
  <si>
    <t>TP 1</t>
  </si>
  <si>
    <t>meyakini Surah al-Mā’ūn sebagai firman Allah dengan benar</t>
  </si>
  <si>
    <t>TP 2</t>
  </si>
  <si>
    <t>membaca Surah al-Mā’ūn dengan benar</t>
  </si>
  <si>
    <t>TP 3</t>
  </si>
  <si>
    <t>melafalkan Surah al-Mā’ūn dengan benar</t>
  </si>
  <si>
    <t>TP 4</t>
  </si>
  <si>
    <t>mengartikan Surah al-Mā’ūn dengan benar</t>
  </si>
  <si>
    <t>TP 5</t>
  </si>
  <si>
    <t>meyakini asmaulhusna al-Qawiyyu, al-Qayyūm, al-Muhyi, alMumīt, dan al-Bā’iś</t>
  </si>
  <si>
    <t>TP 6</t>
  </si>
  <si>
    <t>menjelaskan makna asmaulhusna al-Qawiyyu, al-Qayyūm, alMuhyi, al-Mumīt, dan al-Bā’iś</t>
  </si>
  <si>
    <t>TP 7</t>
  </si>
  <si>
    <t>mengungkap nilai-nilai akhlak terpuji sebagai bukti keyakinan kepada asmaulhusna al-Qawiyyu, al-Qayyūm, al-Muhyi, alMumīt, dan al-Bā’iś</t>
  </si>
  <si>
    <t>TP 8</t>
  </si>
  <si>
    <t>menyimpulkan perilaku terpuji yang sesuai dengan asmaulhusna al-Qawiyyu, al-Qayyūm, al-Muhyi, al-Mumīt, dan al-Bā’iś</t>
  </si>
  <si>
    <t>TP 9</t>
  </si>
  <si>
    <t>meyakini  makna hidup indah saling menghargai dan tugas utama sebagai khalifah dengan benar</t>
  </si>
  <si>
    <t>TP 10</t>
  </si>
  <si>
    <t>membiasakan perilaku terpuji sebagai bukti wujud implementasi dari  makna hidup indah saling menghargai</t>
  </si>
  <si>
    <t>TP 11</t>
  </si>
  <si>
    <t>menjelaskan makna hidup indah saling menghargai dan tugas utama sebagai khalifah</t>
  </si>
  <si>
    <t>TP 12</t>
  </si>
  <si>
    <t>menyebutkan makna saling menghargai dan tugas utama manusia sebagai khalifah</t>
  </si>
  <si>
    <t>TP 13</t>
  </si>
  <si>
    <t>meyakini  makna zakat, infak, sedekah, dan hadiah</t>
  </si>
  <si>
    <t>TP 14</t>
  </si>
  <si>
    <t>membiasakan perilaku berbagi sebagai bukti menerapkan makna zakat, infak, sedekah, dan hadiah dengan benar</t>
  </si>
  <si>
    <t>TP 15</t>
  </si>
  <si>
    <t>menjelaskan makna zakat, infak, sedekah, dan hadiah</t>
  </si>
  <si>
    <t>TP 16</t>
  </si>
  <si>
    <t>membedakan makna zakat, infak, sedekah, dan hadiah</t>
  </si>
  <si>
    <t>TP 17</t>
  </si>
  <si>
    <t>meyakini  peristiwa Fathu Makkah dan Haji Wada</t>
  </si>
  <si>
    <t>TP 18</t>
  </si>
  <si>
    <t>membiasakan perilaku pantang menyerah sebagai bukti implementasi makna Fathu Makkah dan Haji Wada</t>
  </si>
  <si>
    <t>TP 19</t>
  </si>
  <si>
    <t>menjelaskan pengertian peristiwa Fathu Makkah dan Haji</t>
  </si>
  <si>
    <t>TP 20</t>
  </si>
  <si>
    <t>menjelaskan sebab-sebab terjadinya peristiwa Fathu Makkah</t>
  </si>
  <si>
    <t>Pancasila dalam Kehidupanku</t>
  </si>
  <si>
    <t>Norma dalam Kehidupan</t>
  </si>
  <si>
    <t>menceritakan perilaku yang sesuai dengan nilai-nilai Pancasila</t>
  </si>
  <si>
    <t>membiasakan perilaku yang sesuai dengan nilai-nilai Pancasila</t>
  </si>
  <si>
    <t>bersyukur kepada Tuhan Yang Maha Esa atas nilai dan semangat gotong royong</t>
  </si>
  <si>
    <t>menelaah kedudukan manusia sebagai makhluk sosial</t>
  </si>
  <si>
    <t>menyajikan hasil telaah terhadap perbedaan karakter yang ada di lingkungan</t>
  </si>
  <si>
    <t>menganalisis perilaku terpuji yang harus ditunjukkan terhadap orang lain</t>
  </si>
  <si>
    <t>menyebutkan norma yang berlaku di lingkungan sebagai sikap beriman dan bertaqwa</t>
  </si>
  <si>
    <t>menunjukkan sikap disiplin dalam menerapkan norma yang berlaku</t>
  </si>
  <si>
    <t>menelaah macam-macam norma beserta sumber dan sanksinya</t>
  </si>
  <si>
    <t>menyajikan hasil telaah tentang macam-macam norma yang berlaku</t>
  </si>
  <si>
    <t>Aku yang Unik</t>
  </si>
  <si>
    <t>Buku Jendela Dunia</t>
  </si>
  <si>
    <t>Ekspresi Diri Melalui Hobi</t>
  </si>
  <si>
    <t>Belajar Berwirausaha</t>
  </si>
  <si>
    <t>memperkenalkan diri di depan kelas</t>
  </si>
  <si>
    <t>terampil dan terbiasa menulis indah</t>
  </si>
  <si>
    <t>mengelaborasi perasaan diri sendiri dan orang lain</t>
  </si>
  <si>
    <t>menjelaskan makna kosakata baru pada teks yang dibacakan</t>
  </si>
  <si>
    <t>menggunakan kamus untuk mencari informasi, menemukan makna kata sifat secara tepat dan akurat</t>
  </si>
  <si>
    <t>menyertakan contoh atau petunjuk untuk mendukung pendapatnya</t>
  </si>
  <si>
    <t>mengenali fungsi tanda baca dan pengaruhnya pada intonasi</t>
  </si>
  <si>
    <t>memahami unsur-unsur intrinsik cerita</t>
  </si>
  <si>
    <t>mempraktikkan penggunaan intonasi dan teknik presentasi cerita yang tepat</t>
  </si>
  <si>
    <t>memahami cara pemilihan bahasa oleh penulis untuk menyampaikan pesan tertentu</t>
  </si>
  <si>
    <t>memahami dan menganalisis petunjuk untuk menemukan jawaban</t>
  </si>
  <si>
    <t>mengenali dan mengucapkan kata-kata baru yang digunakan dalam teks “Ekspresi Diri melalui Hobi”</t>
  </si>
  <si>
    <t>mengenal jenis imbuhan, yakni imbuhan berawalan me- dan akhiran -kan dan -lah</t>
  </si>
  <si>
    <t>mengaplikasikan jenis imbuhan, yakni imbuhan berawalan me- dan akhiran -kan dan -lah</t>
  </si>
  <si>
    <t>menceritakan tentang hobinya ke peserta didik lain</t>
  </si>
  <si>
    <t>memahami informasi yang terdapat di dalam tabel</t>
  </si>
  <si>
    <t>membuat kalimat berdasarkan kosakata baru</t>
  </si>
  <si>
    <t>memahami isi teks dengan bantuan kata tanya</t>
  </si>
  <si>
    <t>menentukan ide pokok pada setiap paragraf</t>
  </si>
  <si>
    <t>memahami dan mengidentifikasi idiom beserta maknanya</t>
  </si>
  <si>
    <t>Bilangan Desimal dan Bilangan Bulat</t>
  </si>
  <si>
    <t>Pengukuran per Kuantitas Unit</t>
  </si>
  <si>
    <t>Perkalian Bilangan Desimal</t>
  </si>
  <si>
    <t>Kekongruenan dan Sudut dari Bangun Datar</t>
  </si>
  <si>
    <t>Pembagian Bilangan Desimal</t>
  </si>
  <si>
    <t>Volume</t>
  </si>
  <si>
    <t>Kelipatan dan Faktor</t>
  </si>
  <si>
    <t>Pecahan</t>
  </si>
  <si>
    <t>memperdalam pemahaman tentang bilangan bulat dan desimal melalui nilai tempat</t>
  </si>
  <si>
    <t>membuat bilangan dengan besaran 10 kali, 100 kali,  1/10, 1/100</t>
  </si>
  <si>
    <t>memahami arti, penggunaan, dan ekspresi rata-rata</t>
  </si>
  <si>
    <t>memecahkan masalah sehari-hari secara matematis</t>
  </si>
  <si>
    <t>memahami arti perkalian desimal dan cara menghitungnya, serta mampu menggunakannya dengan tepat</t>
  </si>
  <si>
    <t>memahami arti perkalian jika pengali adalah bilangan desimal</t>
  </si>
  <si>
    <t>menghitung perkalian desimal dan mampu menghitung perkalian desimal</t>
  </si>
  <si>
    <t>memahami hukum pertukaran, asosiatif, dan distribusi</t>
  </si>
  <si>
    <t>memahamani bangun datar melalui kegiatan seperti observasi dan komposisi bentuk</t>
  </si>
  <si>
    <t>memahami pembagian desimal dan menggunakannya dengan baik</t>
  </si>
  <si>
    <t>memahami arti pembagian jika pembaginya adalah desimal</t>
  </si>
  <si>
    <t>menemukan cara untuk menghitung pembagian desimal, dan mampu menghitungnya dengan tepat</t>
  </si>
  <si>
    <t>memahami pembagian bersisa dari bilangan desimal</t>
  </si>
  <si>
    <t>mengenai volume benda yang ada disekitar</t>
  </si>
  <si>
    <t>mencari volume balok, kubus, dan bentuk majemuk prisma</t>
  </si>
  <si>
    <t>memahami rumus kuadrat untuk balok dan kubus</t>
  </si>
  <si>
    <t>memahami konsep pembagi dan kelipatan</t>
  </si>
  <si>
    <t>memahami tentang keteraturan kelipatan dengan melihat urutan kelipatannya</t>
  </si>
  <si>
    <t>mengubah bilangan bulat dan desimal menjadi pecahan</t>
  </si>
  <si>
    <t>mengalikan dan membagi pembilang dan penyebut pecahan</t>
  </si>
  <si>
    <t>Melihat karena Cahaya, Mendengar karena Bunyi</t>
  </si>
  <si>
    <t>Harmoni dalam Ekosistem</t>
  </si>
  <si>
    <t>Magnet, Listrik,  dan Teknologi untuk kehidupan</t>
  </si>
  <si>
    <t>Mari Berkenalan dengan Bumi Kita</t>
  </si>
  <si>
    <t>menjelaskan sifat-sifat bunyi dan cahaya melalui percobaan sederhana</t>
  </si>
  <si>
    <t>mendemonstrasikan bagaimana sistem pendengaran dan penglihatan manusia bekerja</t>
  </si>
  <si>
    <t>menganalisis hubungan antarmakhluk hidup pada suatu ekosistem dalam bentuk jaring-jaring makanan</t>
  </si>
  <si>
    <t>mendeskripsikan proses transformasi antarmakhluk hidup dalam suatu ekosistem</t>
  </si>
  <si>
    <t>mendeskripsikan bagaimana transformasi energi dalam suatu ekosistem berperan penting dalam menjaga keseimbangan alam</t>
  </si>
  <si>
    <t>memanfaatkan gaya magnet untuk menjalani aktivitas sehari-hari</t>
  </si>
  <si>
    <t>mendeskripsikan bagaimana energi listrik diperoleh dan digunakan</t>
  </si>
  <si>
    <t>menggunakan perangkat teknologi yang memanfaatkan perubahan energi listrik</t>
  </si>
  <si>
    <t>mengetahui struktur lapisan Bumi (litosfer, hidrosfer, dan atmosfer) dan kenampakan alam</t>
  </si>
  <si>
    <t>menjelaskan terjadinya siklus air dan perubahan-perubahan di permukaan Bumi</t>
  </si>
  <si>
    <t>menceritakan kembali proses pergerakan lempeng Bumi yang terjadi akibat arus konveksi cairan di mantel Bumi</t>
  </si>
  <si>
    <t>mengenal dan membedakan jenis-jenis range pada suara manusia</t>
  </si>
  <si>
    <t>mengenal dan membedakan bunyi alat-alat musik</t>
  </si>
  <si>
    <t>mendeskripsikan alat musik apa saja yang digunakan dalam suatu komposisi/lagu</t>
  </si>
  <si>
    <t>mengetahui not angka</t>
  </si>
  <si>
    <t>mengetahui bentuk dan nilai not balok</t>
  </si>
  <si>
    <t>mengetahui perbedaan tanda birama</t>
  </si>
  <si>
    <t>membaca not angka dan not balok secara sederhana</t>
  </si>
  <si>
    <t>memainkan komposisi sederhana dalam not balok dengan alat musik perkusi/stik dan pianika atau aplikasi keyboard virtual</t>
  </si>
  <si>
    <t>mengetahui organ tubuh penghasil suara</t>
  </si>
  <si>
    <t>mengetahui sikap tubuh yang baik saat bernyanyi</t>
  </si>
  <si>
    <t>mengetahui cara menyanyikan lagu dengan rambu-rambu bernapas pada setiap kalimat lirik lagu</t>
  </si>
  <si>
    <t>menerapkan latihan solfeggio (menyelaraskan nada)</t>
  </si>
  <si>
    <t>menyanyi dengan nada yang tepat</t>
  </si>
  <si>
    <t>menyanyi dengan artikulasi yang jelas</t>
  </si>
  <si>
    <t>Mengenal Jenis-Jenis  Suara Manusia,   Bunyi Alat Musik, dan  Bentuk Alat Musik</t>
  </si>
  <si>
    <t>Mengenal Notasi dan Tangga Nada</t>
  </si>
  <si>
    <t>Ayo Bernyanyi</t>
  </si>
  <si>
    <t>KEBERAGAMAN UNSUR PENDUKUNG TARI</t>
  </si>
  <si>
    <t>DESAIN KELOMPOK DALAM TARI TRADISI</t>
  </si>
  <si>
    <t>membedakan fungsi unsur pendukung tari yaitu, musik, properti, tata rias, dan tata busana</t>
  </si>
  <si>
    <t>menerapkan desain kelompok yaitu serempak (unison), desain berimbang (balanced), dan desain selang-seling (alternate)</t>
  </si>
  <si>
    <t>Mengenal Unsur dan Prinsip Seni Rupa pada Objek di Sekitar Kita</t>
  </si>
  <si>
    <t>Menggambar Prinsip dalam Seni Rupa</t>
  </si>
  <si>
    <t>Mengenal dan Mengekplorasi Ikatan dan Simpul</t>
  </si>
  <si>
    <t>Membuat Karya Seni Makrame Sederhana</t>
  </si>
  <si>
    <t>Mengenal dan Mengeksplorasi Anyaman</t>
  </si>
  <si>
    <t>Membuat Souvenir dari Anyaman</t>
  </si>
  <si>
    <t>menemukan minimal tiga unsur seni rupa yang terdapat dalam objek di lingkungan</t>
  </si>
  <si>
    <t>mendeteksi unsur seni rupa yang terdpat dalam objek yang membentuk ritme tertentu</t>
  </si>
  <si>
    <t>menyimpulkan konsep prinsip ritme dalam seni rupa yang terdapat dalam objek</t>
  </si>
  <si>
    <t>menemukan prinsip ritme dalam sebuah karya seni atau objek</t>
  </si>
  <si>
    <t>menganalisis prinsip ritme dalam sebuah karya seni atau objek</t>
  </si>
  <si>
    <t>menyimpulkan unsur seni rupa yang membentuk ritme dalam seni rupa</t>
  </si>
  <si>
    <t>menentukan produk karya seni ikatan dan menyimpulkan</t>
  </si>
  <si>
    <t>menganalisis cara pembuatan karya seni ikatan dan menyimpul yang berada di daerah sekitar</t>
  </si>
  <si>
    <t>memilih aneka bahan-bahan yang digunakan untuk pembuatan karya seni ikatan dan menyimpul</t>
  </si>
  <si>
    <t>menemukan karya seni makrame</t>
  </si>
  <si>
    <t>menguraikan aneka bahan yang dapat digunakan untuk karya seni makrame</t>
  </si>
  <si>
    <t>menganalisis simpul dalam penciptaan karya seni makrame</t>
  </si>
  <si>
    <t>menentukan tiga nama karya seni anyaman di daerah sekitar</t>
  </si>
  <si>
    <t>menguraikan tiga jenis bahan untuk membuat karya seni anyaman</t>
  </si>
  <si>
    <t>menyusun langkah-langkah dalam proses pembuatan karya seni</t>
  </si>
  <si>
    <t>menentukan tiga nama kerajinan souvenir anyaman</t>
  </si>
  <si>
    <t>menguraikan tiga bahan kerajinan souvenir anyaman</t>
  </si>
  <si>
    <t>mengevaluasi aneka jenis kerajinan souvenir dengan berbagai teknik pembuatan</t>
  </si>
  <si>
    <t>Bermain itu Menyenangkan</t>
  </si>
  <si>
    <t>Bermain Peran</t>
  </si>
  <si>
    <t>mengembangkan gerak tubuh berdasar pada aturan dan instruksi sederhana</t>
  </si>
  <si>
    <t>menceritakan situasi imajinatif</t>
  </si>
  <si>
    <t>menirukan gerakan makhluk hidup yang diamati</t>
  </si>
  <si>
    <t>mendeskripsikan urutan gerak permainan kelompok</t>
  </si>
  <si>
    <t>memahami bahwa bermain membutuhkan olah tubuh dan aturan</t>
  </si>
  <si>
    <t>memodifikasi aturan dalam permainan daerah</t>
  </si>
  <si>
    <t>bekerja kolaboratif dengan tim</t>
  </si>
  <si>
    <t>menggunakan seluruh anggota tubuh untuk menunjang perannya</t>
  </si>
  <si>
    <t>melibatkan diri dalam situasi rekaan mengandalkan beberapa stimulus dan rangsangan</t>
  </si>
  <si>
    <t>bergerak mengikuti situasi di dalam cerita</t>
  </si>
  <si>
    <t>menirukan sosok lewat karakter, vokal, dan gestur</t>
  </si>
  <si>
    <t>memahami blocking dan penerapannya di atas panggung</t>
  </si>
  <si>
    <t>menjelaskan emosi-emosi yang ditunjukkan oleh tokoh/sosok tertentu</t>
  </si>
  <si>
    <t>mengkomunikasikan ide lewat kegiatan manipulasi properti</t>
  </si>
  <si>
    <t>mengeksplorasi properti sesuai fungsi dan bentuknya</t>
  </si>
  <si>
    <t>menampilkan pertunjukan singkat dengan dialog sederhana</t>
  </si>
  <si>
    <t>Permainan Bola Besar</t>
  </si>
  <si>
    <t>Permainan Bola Kecil</t>
  </si>
  <si>
    <t>Kombinasi Gerak</t>
  </si>
  <si>
    <t>Gerak Dasar Bela Diri</t>
  </si>
  <si>
    <t>Latihan Daya Tahan</t>
  </si>
  <si>
    <t>memahami kombinasi gerak dalam permainan bola besar</t>
  </si>
  <si>
    <t>memahami kombinasi gerak dalam permainan bola kecil</t>
  </si>
  <si>
    <t>memahami kombinasi gerak dasar jalan, lari, lompat, dan lempar</t>
  </si>
  <si>
    <t>menerapkan variasi gerak dasar seni beladiri</t>
  </si>
  <si>
    <t>memahami aktivitas latihan daya tahan jantung</t>
  </si>
  <si>
    <t>What delicious bakso!</t>
  </si>
  <si>
    <t>I want an ice cream cone</t>
  </si>
  <si>
    <t>How much is it?</t>
  </si>
  <si>
    <t>Do you have a stomachache?</t>
  </si>
  <si>
    <t>What a nice skirt!</t>
  </si>
  <si>
    <t>mengidentifikasi dan menyebutkan beberapa rasa pada makanan dan minuman</t>
  </si>
  <si>
    <t>menulis kalimat tentang rasa makanan dan minuman</t>
  </si>
  <si>
    <t>mengidentifikasi dan menyebutkan satuan hitung pada makanan dan minuman</t>
  </si>
  <si>
    <t>merespon dan menulis kalimat tentang satuan hitung pada makanan dan minuman</t>
  </si>
  <si>
    <t>mengidentifikasi dan menyebutkan angka (ratusan dan ribuan) terkait harga makanan dan minuman</t>
  </si>
  <si>
    <t>merespon dan menulis kalimat tentang angka terkait harga makanan dan minuman</t>
  </si>
  <si>
    <t>mengidentifikasi dan menyebutkan beberapa jenis keluhan sakit</t>
  </si>
  <si>
    <t>merespon dan menulis cerita tentang keluhan sakit yang sedang dialami</t>
  </si>
  <si>
    <t>mengidentifikasi dan menyebutkan jenis-jenis pakaian</t>
  </si>
  <si>
    <t>merespon dan menulis cerita tentang pakaian pada kegiatan saat ini (Present Activities)</t>
  </si>
  <si>
    <t>Kaulinan Barudak</t>
  </si>
  <si>
    <t>Pupuh</t>
  </si>
  <si>
    <t>Aksara Sunda</t>
  </si>
  <si>
    <t>Paguneman</t>
  </si>
  <si>
    <t>mengetahui jenis teks deskripsi dengan tepat</t>
  </si>
  <si>
    <t>dapat menentukan kecap barang dengan percaya diri</t>
  </si>
  <si>
    <t>mendeskripsikan kaulinan barudak yang menggunakan benda di sekitar dengan benar</t>
  </si>
  <si>
    <t>memperagakan kaulinan barudak yang menggunakan benda di sekitar dengan percaya diri</t>
  </si>
  <si>
    <t>mengetahui perbedaan antara kalimat aktif dan kalimat pasif</t>
  </si>
  <si>
    <t>menentukan jenis kalimat aktif dan kalimat pasif</t>
  </si>
  <si>
    <t>mengetahui perbedaan penggunaan aksara gede pada kalimat dengan benar</t>
  </si>
  <si>
    <t>menentukan penggunaan aksara gede pada kalimat dengan tepat</t>
  </si>
  <si>
    <t>mendeskripsikan kaulinan barudak dengan tepat</t>
  </si>
  <si>
    <t>menyebutkan jenis kaulinan barudak dengan benar</t>
  </si>
  <si>
    <t>mampu membuat sebuah kalimat pananya berdasarkan peristiwa dalam kehidupan dengan tepat</t>
  </si>
  <si>
    <t>membedakan kalimat aktif dan kalimat pasif dengan tepat</t>
  </si>
  <si>
    <t>dapat membedakan peristiwa menyenangkan dan sedih dengan tepat</t>
  </si>
  <si>
    <t>mengetahui kalimat pananya dengan benar</t>
  </si>
  <si>
    <t>NON TES</t>
  </si>
  <si>
    <t>TES</t>
  </si>
  <si>
    <t>Deskripsi Rapor</t>
  </si>
  <si>
    <t>Deskripsi Capaian Tertinggi</t>
  </si>
  <si>
    <t>Deskripsi Capaian Terendah</t>
  </si>
  <si>
    <t>Menunjukkan penguasaan dalam</t>
  </si>
  <si>
    <t>Perlu bimbingan dalam</t>
  </si>
  <si>
    <t>PEMBAGI</t>
  </si>
  <si>
    <t>NILAI AKHIR (RAPOR)</t>
  </si>
  <si>
    <t>Capaian Tertinggi</t>
  </si>
  <si>
    <t>Capaian Terendah</t>
  </si>
  <si>
    <t>Menonjol</t>
  </si>
  <si>
    <t>Perlu Ditingkatkan</t>
  </si>
  <si>
    <t>Nilai</t>
  </si>
  <si>
    <t>TP</t>
  </si>
  <si>
    <t>NAMA SISWA</t>
  </si>
  <si>
    <t>Ganti Kalimat Awal Deskripsi Capaian</t>
  </si>
  <si>
    <t>aku saja</t>
  </si>
  <si>
    <t>aku</t>
  </si>
  <si>
    <t>EKSTRAKURIKULER WAJIB</t>
  </si>
  <si>
    <t>EKSKUL 1</t>
  </si>
  <si>
    <t>DESKRIPSI</t>
  </si>
  <si>
    <t>EKSKUL 2</t>
  </si>
  <si>
    <t>EKSKUL 3</t>
  </si>
  <si>
    <t>EKSKUL 4</t>
  </si>
  <si>
    <t>EKSKUL 5</t>
  </si>
  <si>
    <t>EKSTRAKURIKULER PILIHAN 1</t>
  </si>
  <si>
    <t>EKSTRAKURIKULER PILIHAN 2</t>
  </si>
  <si>
    <t>EKSTRAKURIKULER PILIHAN 3</t>
  </si>
  <si>
    <t>EKSTRAKURIKULER PILIHAN 4</t>
  </si>
  <si>
    <t>Catatan Guru</t>
  </si>
  <si>
    <t xml:space="preserve">Sakit </t>
  </si>
  <si>
    <t>Izin</t>
  </si>
  <si>
    <t>Tanpa Keterangan</t>
  </si>
  <si>
    <t>Kehadiran</t>
  </si>
  <si>
    <t>NAIK KELAS</t>
  </si>
  <si>
    <t>a</t>
  </si>
  <si>
    <t>Ya</t>
  </si>
  <si>
    <t>RAPOR DAN PROFIL PESERTA DIDIK</t>
  </si>
  <si>
    <t>Nama Peserta Didik</t>
  </si>
  <si>
    <t>Kelas</t>
  </si>
  <si>
    <t>NISN/NIS</t>
  </si>
  <si>
    <t>Fase</t>
  </si>
  <si>
    <t>Nama Sekolah</t>
  </si>
  <si>
    <t>Semester</t>
  </si>
  <si>
    <t>Alamat Sekolah</t>
  </si>
  <si>
    <t>Tahun Pelajaran</t>
  </si>
  <si>
    <t>No.</t>
  </si>
  <si>
    <t>Mata Pelajaran</t>
  </si>
  <si>
    <t>Nilai Akhir</t>
  </si>
  <si>
    <t>Capaian Kompetensi</t>
  </si>
  <si>
    <t>Seni (Pilihan)</t>
  </si>
  <si>
    <t>Ekstrakurikuler</t>
  </si>
  <si>
    <t>Keterangan</t>
  </si>
  <si>
    <t>Ketidakhadiran</t>
  </si>
  <si>
    <t>Sakit</t>
  </si>
  <si>
    <t>Mengetahui :</t>
  </si>
  <si>
    <t>Orang Tua / Wali,</t>
  </si>
  <si>
    <t>Guru Kelas,</t>
  </si>
  <si>
    <t xml:space="preserve">                                </t>
  </si>
  <si>
    <t>Mengetahui,</t>
  </si>
  <si>
    <t>Kepala Sekolah</t>
  </si>
  <si>
    <t>Keterangan Naik Kelas / Tidak</t>
  </si>
  <si>
    <t>1P 1</t>
  </si>
  <si>
    <t>Materi 1</t>
  </si>
  <si>
    <t>Tujuan Pembelajaran 1</t>
  </si>
  <si>
    <t>Tujuan Pembelajaran 2</t>
  </si>
  <si>
    <t>Pramuka</t>
  </si>
  <si>
    <t>bagus</t>
  </si>
  <si>
    <t>keren</t>
  </si>
  <si>
    <t>Taekwondo</t>
  </si>
  <si>
    <t>Wow</t>
  </si>
  <si>
    <t>Karate</t>
  </si>
  <si>
    <t>IT</t>
  </si>
  <si>
    <t>Hacker</t>
  </si>
  <si>
    <t>Volly</t>
  </si>
  <si>
    <t>Atlet</t>
  </si>
  <si>
    <t>Bahasa Jepang</t>
  </si>
  <si>
    <t>Bahasa Jerman</t>
  </si>
  <si>
    <t>Bahasa Mandarin</t>
  </si>
  <si>
    <t>Bahasa Korea</t>
  </si>
  <si>
    <t>ayahku</t>
  </si>
  <si>
    <t>VI</t>
  </si>
  <si>
    <t>Tidak</t>
  </si>
  <si>
    <t>II</t>
  </si>
  <si>
    <t>Berdasarkan pencapaian kompetensi pada Semester I dan II, peserta didik ditetapkan untuk</t>
  </si>
  <si>
    <t>JUMLAH</t>
  </si>
  <si>
    <t>RATA-RATA</t>
  </si>
  <si>
    <t>RANGKING</t>
  </si>
  <si>
    <t>NILAI AKHIR</t>
  </si>
  <si>
    <t>CAPAIAN MATA PELAJARAN</t>
  </si>
  <si>
    <t>REKAP NILAI SISWA</t>
  </si>
  <si>
    <t>Jumlah</t>
  </si>
  <si>
    <t>Rata-rata Kelas</t>
  </si>
  <si>
    <t>Daya Serap</t>
  </si>
  <si>
    <t>Nilai Terbesar</t>
  </si>
  <si>
    <t>Nilai Terkecil</t>
  </si>
  <si>
    <t>Disusun oleh : Adnan Abdillah, S.Pd. | SDN CICOHAG | Inspirasi dari Rapor ARASBE</t>
  </si>
  <si>
    <t>PESERTA DIDIK</t>
  </si>
  <si>
    <t>SEKOLAH DASAR</t>
  </si>
  <si>
    <t>(SD)</t>
  </si>
  <si>
    <t>KEMENTRIAN PENDIDIKAN, KEBUDAYAAN, RISET, DAN TEKNOLOGI</t>
  </si>
  <si>
    <t>Kabupaten/Kota</t>
  </si>
  <si>
    <t>Website</t>
  </si>
  <si>
    <t>E-mail</t>
  </si>
  <si>
    <t>IDENTITAS PESERTA DIDIK</t>
  </si>
  <si>
    <t>Tempat, Tanggal Lahir</t>
  </si>
  <si>
    <t>Nama Orang Tua</t>
  </si>
  <si>
    <t>Pekerjaan Orang Tua</t>
  </si>
  <si>
    <t>Alamat Orang Tua</t>
  </si>
  <si>
    <t>Jalan</t>
  </si>
  <si>
    <t>Kelurahan/Desa</t>
  </si>
  <si>
    <t>Kepala Sekolah,</t>
  </si>
  <si>
    <t>RAPOR</t>
  </si>
  <si>
    <t>P E S E R T A   D I D I K</t>
  </si>
  <si>
    <t>Nama Peserta Didik:</t>
  </si>
  <si>
    <t>REPUBLIK INDONESIA</t>
  </si>
  <si>
    <t>Telp.</t>
  </si>
  <si>
    <t>Pendidikan Sebelumnya</t>
  </si>
  <si>
    <t>Kelurahan/ Desa</t>
  </si>
  <si>
    <t>Kabupaten/ Kota</t>
  </si>
  <si>
    <t>18 Juni 2014</t>
  </si>
  <si>
    <t>Laki-Laki</t>
  </si>
  <si>
    <t>Piagam Penghargaan</t>
  </si>
  <si>
    <t>Diberikan Kepada</t>
  </si>
  <si>
    <t>Sebagai</t>
  </si>
  <si>
    <t>Semoga Prestasi Yang Diraih Menjadi Motivasi Untuk Meraih Kesuksesan</t>
  </si>
  <si>
    <t>Di Masa Yang Akan Datang</t>
  </si>
  <si>
    <t>Mengetahui</t>
  </si>
  <si>
    <t>Wali Kelas</t>
  </si>
  <si>
    <t>Kabupaten Sukabumi</t>
  </si>
  <si>
    <t>`</t>
  </si>
  <si>
    <t>11 Juni 2014</t>
  </si>
  <si>
    <t>Perempuan</t>
  </si>
  <si>
    <t>PADAASIH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</si>
</sst>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@\ * &quot;:&quot;"/>
  </numFmts>
  <fonts count="6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0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22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7" tint="0.79998168889431442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b/>
      <sz val="22"/>
      <color theme="0"/>
      <name val="Times New Roman"/>
      <family val="1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sz val="12"/>
      <color theme="0"/>
      <name val="Times New Roman"/>
      <family val="1"/>
    </font>
    <font>
      <sz val="8"/>
      <color rgb="FF000000"/>
      <name val="Segoe U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0"/>
      <name val="Times New Roman"/>
      <family val="1"/>
    </font>
    <font>
      <b/>
      <u/>
      <sz val="11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8" tint="0.7999816888943144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trike/>
      <sz val="11"/>
      <color theme="1"/>
      <name val="Times New Roman"/>
      <family val="1"/>
    </font>
    <font>
      <sz val="11"/>
      <name val="Calibri"/>
      <family val="2"/>
      <scheme val="minor"/>
    </font>
    <font>
      <b/>
      <sz val="16"/>
      <color theme="1"/>
      <name val="Times New Roman"/>
      <family val="1"/>
    </font>
    <font>
      <b/>
      <sz val="11"/>
      <name val="Times New Roman"/>
      <family val="1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3"/>
      <color theme="1"/>
      <name val="Times New Roman"/>
      <family val="1"/>
    </font>
    <font>
      <b/>
      <sz val="18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Book Antiqua"/>
      <family val="1"/>
    </font>
    <font>
      <b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FF0000"/>
      <name val="Times New Roman"/>
      <family val="1"/>
    </font>
    <font>
      <sz val="24"/>
      <color rgb="FF0066FF"/>
      <name val="Old English Text MT"/>
      <family val="4"/>
    </font>
    <font>
      <sz val="14"/>
      <color theme="1"/>
      <name val="Arial Black"/>
      <family val="2"/>
    </font>
    <font>
      <b/>
      <sz val="22"/>
      <color rgb="FF0066FF"/>
      <name val="Times New Roman"/>
      <family val="1"/>
    </font>
    <font>
      <sz val="20"/>
      <color rgb="FF0066FF"/>
      <name val="Bernard MT Condensed"/>
      <family val="1"/>
    </font>
    <font>
      <b/>
      <u/>
      <sz val="14"/>
      <color theme="1"/>
      <name val="Times New Roman"/>
      <family val="1"/>
    </font>
    <font>
      <b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0" fillId="0" borderId="0"/>
  </cellStyleXfs>
  <cellXfs count="297">
    <xf numFmtId="0" fontId="0" fillId="0" borderId="0" xfId="0"/>
    <xf numFmtId="0" fontId="3" fillId="0" borderId="0" xfId="0" applyFont="1"/>
    <xf numFmtId="0" fontId="3" fillId="2" borderId="0" xfId="0" applyFont="1" applyFill="1"/>
    <xf numFmtId="0" fontId="4" fillId="0" borderId="0" xfId="0" applyFont="1" applyAlignment="1">
      <alignment wrapText="1"/>
    </xf>
    <xf numFmtId="0" fontId="5" fillId="0" borderId="0" xfId="0" applyFont="1"/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" fillId="3" borderId="0" xfId="0" applyFont="1" applyFill="1"/>
    <xf numFmtId="0" fontId="7" fillId="3" borderId="0" xfId="0" applyFont="1" applyFill="1"/>
    <xf numFmtId="0" fontId="6" fillId="3" borderId="0" xfId="0" applyFont="1" applyFill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4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1" xfId="3" applyNumberFormat="1" applyFont="1" applyFill="1" applyBorder="1" applyAlignment="1">
      <alignment vertical="center" wrapText="1"/>
    </xf>
    <xf numFmtId="49" fontId="2" fillId="2" borderId="1" xfId="3" applyNumberFormat="1" applyFont="1" applyFill="1" applyBorder="1" applyAlignment="1">
      <alignment horizontal="left" vertical="center" wrapText="1"/>
    </xf>
    <xf numFmtId="49" fontId="12" fillId="2" borderId="1" xfId="4" applyNumberFormat="1" applyFont="1" applyFill="1" applyBorder="1" applyAlignment="1">
      <alignment vertical="center" wrapText="1"/>
    </xf>
    <xf numFmtId="49" fontId="2" fillId="2" borderId="1" xfId="4" applyNumberFormat="1" applyFont="1" applyFill="1" applyBorder="1" applyAlignment="1">
      <alignment vertical="center" wrapText="1"/>
    </xf>
    <xf numFmtId="49" fontId="2" fillId="2" borderId="1" xfId="3" applyNumberFormat="1" applyFont="1" applyFill="1" applyBorder="1" applyAlignment="1">
      <alignment horizontal="center" vertical="center"/>
    </xf>
    <xf numFmtId="49" fontId="2" fillId="2" borderId="1" xfId="4" applyNumberFormat="1" applyFont="1" applyFill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7" xfId="0" applyFont="1" applyBorder="1"/>
    <xf numFmtId="0" fontId="17" fillId="0" borderId="8" xfId="0" applyFont="1" applyBorder="1" applyAlignment="1">
      <alignment horizontal="center" vertical="center"/>
    </xf>
    <xf numFmtId="0" fontId="13" fillId="0" borderId="21" xfId="0" applyFont="1" applyBorder="1"/>
    <xf numFmtId="0" fontId="13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3" fillId="3" borderId="0" xfId="0" applyFont="1" applyFill="1" applyAlignment="1">
      <alignment vertical="center"/>
    </xf>
    <xf numFmtId="0" fontId="0" fillId="3" borderId="28" xfId="0" applyFill="1" applyBorder="1"/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9" fontId="21" fillId="0" borderId="3" xfId="0" applyNumberFormat="1" applyFont="1" applyBorder="1"/>
    <xf numFmtId="9" fontId="21" fillId="0" borderId="4" xfId="0" applyNumberFormat="1" applyFont="1" applyBorder="1"/>
    <xf numFmtId="9" fontId="21" fillId="0" borderId="3" xfId="2" applyFont="1" applyBorder="1"/>
    <xf numFmtId="0" fontId="22" fillId="0" borderId="0" xfId="0" applyFo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 wrapText="1"/>
    </xf>
    <xf numFmtId="0" fontId="24" fillId="0" borderId="0" xfId="0" applyFont="1" applyAlignment="1">
      <alignment vertical="center" wrapText="1"/>
    </xf>
    <xf numFmtId="0" fontId="13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textRotation="90" wrapText="1"/>
    </xf>
    <xf numFmtId="0" fontId="24" fillId="2" borderId="1" xfId="0" applyFont="1" applyFill="1" applyBorder="1" applyAlignment="1">
      <alignment textRotation="90" wrapText="1"/>
    </xf>
    <xf numFmtId="0" fontId="13" fillId="2" borderId="1" xfId="0" applyFont="1" applyFill="1" applyBorder="1" applyAlignment="1">
      <alignment horizontal="center" vertical="center" textRotation="90"/>
    </xf>
    <xf numFmtId="0" fontId="13" fillId="4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2" fillId="3" borderId="0" xfId="0" applyFont="1" applyFill="1"/>
    <xf numFmtId="0" fontId="22" fillId="3" borderId="0" xfId="0" applyFont="1" applyFill="1" applyAlignment="1">
      <alignment horizontal="center" vertical="center" wrapText="1"/>
    </xf>
    <xf numFmtId="0" fontId="27" fillId="3" borderId="0" xfId="0" applyFont="1" applyFill="1" applyAlignment="1">
      <alignment horizontal="right"/>
    </xf>
    <xf numFmtId="0" fontId="0" fillId="10" borderId="1" xfId="0" applyFill="1" applyBorder="1" applyAlignment="1">
      <alignment horizontal="left" vertical="center"/>
    </xf>
    <xf numFmtId="9" fontId="7" fillId="0" borderId="8" xfId="0" applyNumberFormat="1" applyFont="1" applyBorder="1"/>
    <xf numFmtId="9" fontId="7" fillId="0" borderId="7" xfId="0" applyNumberFormat="1" applyFont="1" applyBorder="1"/>
    <xf numFmtId="9" fontId="7" fillId="0" borderId="9" xfId="0" applyNumberFormat="1" applyFont="1" applyBorder="1"/>
    <xf numFmtId="9" fontId="7" fillId="0" borderId="10" xfId="0" applyNumberFormat="1" applyFont="1" applyBorder="1"/>
    <xf numFmtId="0" fontId="0" fillId="0" borderId="1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29" fillId="8" borderId="5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 wrapText="1"/>
    </xf>
    <xf numFmtId="0" fontId="29" fillId="8" borderId="11" xfId="0" applyFont="1" applyFill="1" applyBorder="1" applyAlignment="1">
      <alignment horizontal="center" vertical="center"/>
    </xf>
    <xf numFmtId="0" fontId="29" fillId="8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vertical="center" textRotation="90" wrapText="1"/>
    </xf>
    <xf numFmtId="0" fontId="0" fillId="0" borderId="9" xfId="0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3" borderId="0" xfId="0" applyFont="1" applyFill="1"/>
    <xf numFmtId="0" fontId="0" fillId="4" borderId="0" xfId="0" applyFill="1"/>
    <xf numFmtId="0" fontId="31" fillId="13" borderId="0" xfId="0" applyFont="1" applyFill="1"/>
    <xf numFmtId="0" fontId="34" fillId="13" borderId="0" xfId="0" applyFont="1" applyFill="1"/>
    <xf numFmtId="0" fontId="0" fillId="12" borderId="0" xfId="0" applyFill="1"/>
    <xf numFmtId="0" fontId="3" fillId="12" borderId="0" xfId="0" applyFont="1" applyFill="1"/>
    <xf numFmtId="0" fontId="32" fillId="12" borderId="0" xfId="0" applyFont="1" applyFill="1" applyAlignment="1">
      <alignment horizontal="left" vertical="center"/>
    </xf>
    <xf numFmtId="0" fontId="32" fillId="12" borderId="0" xfId="0" applyFont="1" applyFill="1" applyAlignment="1">
      <alignment horizontal="center" vertical="center"/>
    </xf>
    <xf numFmtId="0" fontId="32" fillId="12" borderId="0" xfId="0" applyFont="1" applyFill="1"/>
    <xf numFmtId="0" fontId="2" fillId="11" borderId="1" xfId="0" applyFont="1" applyFill="1" applyBorder="1" applyAlignment="1">
      <alignment horizontal="center" vertical="center"/>
    </xf>
    <xf numFmtId="0" fontId="3" fillId="12" borderId="32" xfId="0" applyFont="1" applyFill="1" applyBorder="1"/>
    <xf numFmtId="0" fontId="3" fillId="12" borderId="0" xfId="0" applyFont="1" applyFill="1" applyAlignment="1">
      <alignment vertical="center"/>
    </xf>
    <xf numFmtId="0" fontId="35" fillId="12" borderId="0" xfId="0" applyFont="1" applyFill="1"/>
    <xf numFmtId="0" fontId="41" fillId="3" borderId="0" xfId="0" applyFont="1" applyFill="1"/>
    <xf numFmtId="0" fontId="0" fillId="3" borderId="0" xfId="0" applyFill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3" borderId="37" xfId="0" applyFill="1" applyBorder="1"/>
    <xf numFmtId="0" fontId="37" fillId="3" borderId="0" xfId="0" applyFont="1" applyFill="1"/>
    <xf numFmtId="0" fontId="38" fillId="3" borderId="0" xfId="0" applyFont="1" applyFill="1"/>
    <xf numFmtId="0" fontId="45" fillId="2" borderId="1" xfId="0" applyFont="1" applyFill="1" applyBorder="1" applyAlignment="1">
      <alignment horizontal="center" vertical="center" wrapText="1"/>
    </xf>
    <xf numFmtId="0" fontId="54" fillId="12" borderId="0" xfId="0" applyFont="1" applyFill="1" applyProtection="1">
      <protection locked="0"/>
    </xf>
    <xf numFmtId="0" fontId="46" fillId="12" borderId="0" xfId="4" applyFont="1" applyFill="1"/>
    <xf numFmtId="0" fontId="3" fillId="12" borderId="0" xfId="4" applyFont="1" applyFill="1"/>
    <xf numFmtId="0" fontId="47" fillId="12" borderId="0" xfId="4" applyFont="1" applyFill="1"/>
    <xf numFmtId="0" fontId="48" fillId="12" borderId="0" xfId="4" applyFont="1" applyFill="1" applyAlignment="1">
      <alignment horizontal="center"/>
    </xf>
    <xf numFmtId="0" fontId="53" fillId="12" borderId="0" xfId="4" applyFont="1" applyFill="1" applyAlignment="1">
      <alignment vertical="center"/>
    </xf>
    <xf numFmtId="0" fontId="49" fillId="12" borderId="0" xfId="4" applyFont="1" applyFill="1"/>
    <xf numFmtId="0" fontId="47" fillId="12" borderId="0" xfId="4" applyFont="1" applyFill="1" applyAlignment="1">
      <alignment vertical="center"/>
    </xf>
    <xf numFmtId="0" fontId="5" fillId="12" borderId="0" xfId="4" applyFont="1" applyFill="1" applyAlignment="1">
      <alignment vertical="center"/>
    </xf>
    <xf numFmtId="0" fontId="2" fillId="12" borderId="0" xfId="4" applyFont="1" applyFill="1"/>
    <xf numFmtId="0" fontId="46" fillId="12" borderId="0" xfId="4" applyFont="1" applyFill="1" applyAlignment="1">
      <alignment horizontal="center"/>
    </xf>
    <xf numFmtId="0" fontId="50" fillId="12" borderId="0" xfId="4" applyFont="1" applyFill="1"/>
    <xf numFmtId="0" fontId="49" fillId="12" borderId="0" xfId="4" applyFont="1" applyFill="1" applyAlignment="1">
      <alignment horizontal="left"/>
    </xf>
    <xf numFmtId="0" fontId="51" fillId="12" borderId="0" xfId="4" applyFont="1" applyFill="1"/>
    <xf numFmtId="0" fontId="2" fillId="12" borderId="0" xfId="0" applyFont="1" applyFill="1"/>
    <xf numFmtId="0" fontId="2" fillId="12" borderId="0" xfId="0" applyFont="1" applyFill="1" applyAlignment="1">
      <alignment horizontal="left" vertical="center"/>
    </xf>
    <xf numFmtId="0" fontId="13" fillId="12" borderId="0" xfId="0" applyFont="1" applyFill="1"/>
    <xf numFmtId="0" fontId="52" fillId="12" borderId="0" xfId="4" applyFont="1" applyFill="1"/>
    <xf numFmtId="0" fontId="46" fillId="3" borderId="0" xfId="4" applyFont="1" applyFill="1"/>
    <xf numFmtId="0" fontId="47" fillId="3" borderId="0" xfId="4" applyFont="1" applyFill="1"/>
    <xf numFmtId="0" fontId="3" fillId="3" borderId="0" xfId="4" applyFont="1" applyFill="1"/>
    <xf numFmtId="0" fontId="48" fillId="3" borderId="0" xfId="4" applyFont="1" applyFill="1" applyAlignment="1">
      <alignment horizontal="center"/>
    </xf>
    <xf numFmtId="0" fontId="53" fillId="3" borderId="0" xfId="4" applyFont="1" applyFill="1" applyAlignment="1">
      <alignment vertical="center"/>
    </xf>
    <xf numFmtId="0" fontId="49" fillId="3" borderId="0" xfId="4" applyFont="1" applyFill="1"/>
    <xf numFmtId="0" fontId="47" fillId="3" borderId="0" xfId="4" applyFont="1" applyFill="1" applyAlignment="1">
      <alignment vertical="center"/>
    </xf>
    <xf numFmtId="0" fontId="5" fillId="3" borderId="0" xfId="4" applyFont="1" applyFill="1" applyAlignment="1">
      <alignment vertical="center"/>
    </xf>
    <xf numFmtId="0" fontId="2" fillId="3" borderId="0" xfId="4" applyFont="1" applyFill="1"/>
    <xf numFmtId="0" fontId="46" fillId="3" borderId="0" xfId="4" applyFont="1" applyFill="1" applyAlignment="1">
      <alignment horizontal="center"/>
    </xf>
    <xf numFmtId="0" fontId="50" fillId="3" borderId="0" xfId="4" applyFont="1" applyFill="1"/>
    <xf numFmtId="164" fontId="49" fillId="3" borderId="0" xfId="4" applyNumberFormat="1" applyFont="1" applyFill="1"/>
    <xf numFmtId="164" fontId="46" fillId="3" borderId="0" xfId="4" applyNumberFormat="1" applyFont="1" applyFill="1"/>
    <xf numFmtId="164" fontId="32" fillId="3" borderId="0" xfId="4" applyNumberFormat="1" applyFont="1" applyFill="1"/>
    <xf numFmtId="164" fontId="46" fillId="3" borderId="0" xfId="4" applyNumberFormat="1" applyFont="1" applyFill="1" applyAlignment="1">
      <alignment horizontal="left" indent="1"/>
    </xf>
    <xf numFmtId="0" fontId="60" fillId="0" borderId="0" xfId="0" applyFont="1" applyAlignment="1">
      <alignment horizontal="center" vertical="center"/>
    </xf>
    <xf numFmtId="0" fontId="0" fillId="12" borderId="0" xfId="0" applyFill="1" applyProtection="1">
      <protection locked="0"/>
    </xf>
    <xf numFmtId="0" fontId="0" fillId="12" borderId="0" xfId="0" applyFill="1" applyProtection="1">
      <protection hidden="1"/>
    </xf>
    <xf numFmtId="0" fontId="32" fillId="12" borderId="0" xfId="0" applyFont="1" applyFill="1" applyProtection="1">
      <protection hidden="1"/>
    </xf>
    <xf numFmtId="0" fontId="49" fillId="12" borderId="0" xfId="0" applyFont="1" applyFill="1" applyProtection="1">
      <protection hidden="1"/>
    </xf>
    <xf numFmtId="49" fontId="49" fillId="12" borderId="0" xfId="0" applyNumberFormat="1" applyFont="1" applyFill="1" applyProtection="1">
      <protection hidden="1"/>
    </xf>
    <xf numFmtId="0" fontId="59" fillId="12" borderId="0" xfId="0" applyFont="1" applyFill="1" applyProtection="1">
      <protection hidden="1"/>
    </xf>
    <xf numFmtId="0" fontId="49" fillId="12" borderId="0" xfId="0" applyFont="1" applyFill="1" applyAlignment="1" applyProtection="1">
      <alignment vertical="top"/>
      <protection hidden="1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1" fontId="0" fillId="0" borderId="8" xfId="0" applyNumberFormat="1" applyBorder="1" applyAlignment="1" applyProtection="1">
      <alignment horizontal="left" vertical="center"/>
      <protection locked="0"/>
    </xf>
    <xf numFmtId="0" fontId="1" fillId="0" borderId="8" xfId="1" applyFill="1" applyBorder="1" applyAlignment="1" applyProtection="1">
      <alignment horizontal="left" vertical="center"/>
      <protection locked="0"/>
    </xf>
    <xf numFmtId="1" fontId="0" fillId="0" borderId="8" xfId="0" quotePrefix="1" applyNumberForma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3" fillId="12" borderId="0" xfId="0" applyFont="1" applyFill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0" fillId="12" borderId="1" xfId="0" applyFill="1" applyBorder="1"/>
    <xf numFmtId="1" fontId="0" fillId="12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0" fillId="12" borderId="1" xfId="0" applyNumberFormat="1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3" fillId="12" borderId="19" xfId="0" applyFont="1" applyFill="1" applyBorder="1" applyAlignment="1">
      <alignment horizontal="left"/>
    </xf>
    <xf numFmtId="0" fontId="3" fillId="12" borderId="27" xfId="0" applyFont="1" applyFill="1" applyBorder="1" applyAlignment="1">
      <alignment horizontal="left"/>
    </xf>
    <xf numFmtId="0" fontId="53" fillId="12" borderId="0" xfId="0" applyFont="1" applyFill="1"/>
    <xf numFmtId="9" fontId="7" fillId="0" borderId="7" xfId="0" applyNumberFormat="1" applyFont="1" applyBorder="1" applyAlignment="1">
      <alignment horizontal="right" vertical="center"/>
    </xf>
    <xf numFmtId="9" fontId="7" fillId="0" borderId="8" xfId="0" applyNumberFormat="1" applyFont="1" applyBorder="1" applyAlignment="1">
      <alignment horizontal="right" vertical="center"/>
    </xf>
    <xf numFmtId="9" fontId="7" fillId="0" borderId="9" xfId="0" applyNumberFormat="1" applyFont="1" applyBorder="1" applyAlignment="1">
      <alignment horizontal="right"/>
    </xf>
    <xf numFmtId="9" fontId="7" fillId="0" borderId="10" xfId="0" applyNumberFormat="1" applyFont="1" applyBorder="1" applyAlignment="1">
      <alignment horizontal="right"/>
    </xf>
    <xf numFmtId="0" fontId="12" fillId="5" borderId="0" xfId="0" applyFont="1" applyFill="1" applyAlignment="1">
      <alignment horizontal="center" vertical="center"/>
    </xf>
    <xf numFmtId="9" fontId="14" fillId="6" borderId="2" xfId="0" applyNumberFormat="1" applyFont="1" applyFill="1" applyBorder="1" applyAlignment="1">
      <alignment horizontal="center" vertical="center"/>
    </xf>
    <xf numFmtId="9" fontId="14" fillId="6" borderId="3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49" fontId="11" fillId="6" borderId="1" xfId="4" applyNumberFormat="1" applyFont="1" applyFill="1" applyBorder="1" applyAlignment="1">
      <alignment horizontal="center" vertical="center"/>
    </xf>
    <xf numFmtId="0" fontId="4" fillId="12" borderId="0" xfId="0" applyFont="1" applyFill="1" applyAlignment="1" applyProtection="1">
      <alignment horizontal="center"/>
      <protection hidden="1"/>
    </xf>
    <xf numFmtId="0" fontId="55" fillId="12" borderId="0" xfId="0" applyFont="1" applyFill="1" applyAlignment="1" applyProtection="1">
      <alignment horizontal="center" vertical="center"/>
      <protection hidden="1"/>
    </xf>
    <xf numFmtId="0" fontId="56" fillId="12" borderId="0" xfId="0" applyFont="1" applyFill="1" applyAlignment="1" applyProtection="1">
      <alignment horizontal="center"/>
      <protection hidden="1"/>
    </xf>
    <xf numFmtId="0" fontId="57" fillId="12" borderId="0" xfId="0" applyFont="1" applyFill="1" applyAlignment="1" applyProtection="1">
      <alignment horizontal="center" vertical="center"/>
      <protection hidden="1"/>
    </xf>
    <xf numFmtId="0" fontId="58" fillId="12" borderId="0" xfId="0" applyFont="1" applyFill="1" applyAlignment="1" applyProtection="1">
      <alignment horizontal="center" vertical="center"/>
      <protection hidden="1"/>
    </xf>
    <xf numFmtId="2" fontId="4" fillId="12" borderId="0" xfId="0" applyNumberFormat="1" applyFont="1" applyFill="1" applyAlignment="1" applyProtection="1">
      <alignment horizontal="center"/>
      <protection hidden="1"/>
    </xf>
    <xf numFmtId="0" fontId="53" fillId="12" borderId="0" xfId="0" applyFont="1" applyFill="1" applyAlignment="1" applyProtection="1">
      <alignment horizontal="center" vertical="center"/>
      <protection locked="0"/>
    </xf>
    <xf numFmtId="0" fontId="42" fillId="12" borderId="0" xfId="0" applyFont="1" applyFill="1" applyAlignment="1" applyProtection="1">
      <alignment horizontal="center" vertical="center"/>
      <protection locked="0"/>
    </xf>
    <xf numFmtId="0" fontId="3" fillId="12" borderId="35" xfId="0" applyFont="1" applyFill="1" applyBorder="1" applyAlignment="1">
      <alignment horizontal="left" vertical="center"/>
    </xf>
    <xf numFmtId="0" fontId="3" fillId="12" borderId="19" xfId="0" applyFont="1" applyFill="1" applyBorder="1" applyAlignment="1">
      <alignment horizontal="left" vertical="center"/>
    </xf>
    <xf numFmtId="0" fontId="3" fillId="12" borderId="27" xfId="0" applyFont="1" applyFill="1" applyBorder="1" applyAlignment="1">
      <alignment horizontal="left"/>
    </xf>
    <xf numFmtId="0" fontId="3" fillId="12" borderId="18" xfId="0" applyFont="1" applyFill="1" applyBorder="1" applyAlignment="1">
      <alignment horizontal="left"/>
    </xf>
    <xf numFmtId="0" fontId="14" fillId="13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6" fillId="0" borderId="1" xfId="0" applyFont="1" applyBorder="1" applyAlignment="1">
      <alignment horizontal="left" vertical="center" wrapText="1"/>
    </xf>
    <xf numFmtId="0" fontId="32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left" vertical="center"/>
    </xf>
    <xf numFmtId="0" fontId="14" fillId="13" borderId="0" xfId="0" applyFont="1" applyFill="1" applyAlignment="1" applyProtection="1">
      <alignment horizontal="center" vertical="center"/>
      <protection locked="0"/>
    </xf>
    <xf numFmtId="0" fontId="2" fillId="11" borderId="1" xfId="0" applyFont="1" applyFill="1" applyBorder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3" fillId="0" borderId="33" xfId="0" applyFont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 wrapText="1"/>
    </xf>
    <xf numFmtId="0" fontId="33" fillId="0" borderId="20" xfId="0" applyFont="1" applyBorder="1" applyAlignment="1">
      <alignment horizontal="center" vertical="center" wrapText="1"/>
    </xf>
    <xf numFmtId="0" fontId="40" fillId="0" borderId="31" xfId="0" applyFont="1" applyBorder="1" applyAlignment="1" applyProtection="1">
      <alignment horizontal="center"/>
      <protection locked="0"/>
    </xf>
    <xf numFmtId="0" fontId="3" fillId="12" borderId="31" xfId="0" applyFont="1" applyFill="1" applyBorder="1" applyAlignment="1">
      <alignment horizontal="left" vertical="center"/>
    </xf>
    <xf numFmtId="0" fontId="3" fillId="12" borderId="27" xfId="0" applyFont="1" applyFill="1" applyBorder="1" applyAlignment="1">
      <alignment horizontal="left" vertical="center"/>
    </xf>
    <xf numFmtId="1" fontId="3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2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/>
    </xf>
    <xf numFmtId="0" fontId="35" fillId="12" borderId="0" xfId="0" applyFont="1" applyFill="1" applyAlignment="1">
      <alignment horizontal="center"/>
    </xf>
    <xf numFmtId="0" fontId="3" fillId="0" borderId="2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5" fillId="12" borderId="0" xfId="4" applyFont="1" applyFill="1" applyAlignment="1">
      <alignment horizontal="center"/>
    </xf>
    <xf numFmtId="0" fontId="51" fillId="12" borderId="0" xfId="4" applyFont="1" applyFill="1" applyAlignment="1">
      <alignment horizontal="center" vertical="center"/>
    </xf>
    <xf numFmtId="1" fontId="2" fillId="12" borderId="0" xfId="0" applyNumberFormat="1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0" fontId="42" fillId="12" borderId="0" xfId="4" applyFont="1" applyFill="1" applyAlignment="1">
      <alignment horizontal="center" vertical="center"/>
    </xf>
    <xf numFmtId="0" fontId="47" fillId="12" borderId="0" xfId="4" applyFont="1" applyFill="1" applyAlignment="1">
      <alignment horizontal="center"/>
    </xf>
    <xf numFmtId="0" fontId="5" fillId="12" borderId="38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40" xfId="0" applyFont="1" applyFill="1" applyBorder="1" applyAlignment="1">
      <alignment horizontal="center" vertical="center"/>
    </xf>
    <xf numFmtId="0" fontId="51" fillId="12" borderId="0" xfId="4" applyFont="1" applyFill="1" applyAlignment="1">
      <alignment horizontal="center"/>
    </xf>
    <xf numFmtId="0" fontId="32" fillId="12" borderId="0" xfId="4" applyFont="1" applyFill="1" applyAlignment="1">
      <alignment horizontal="center" vertical="center"/>
    </xf>
    <xf numFmtId="0" fontId="43" fillId="12" borderId="1" xfId="0" applyFont="1" applyFill="1" applyBorder="1" applyAlignment="1" applyProtection="1">
      <alignment horizontal="left" shrinkToFit="1"/>
      <protection hidden="1"/>
    </xf>
    <xf numFmtId="0" fontId="45" fillId="2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 wrapText="1"/>
    </xf>
    <xf numFmtId="0" fontId="42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13" fillId="12" borderId="19" xfId="0" applyFont="1" applyFill="1" applyBorder="1" applyAlignment="1">
      <alignment horizontal="left" vertical="center"/>
    </xf>
    <xf numFmtId="0" fontId="23" fillId="8" borderId="1" xfId="0" applyFont="1" applyFill="1" applyBorder="1" applyAlignment="1">
      <alignment horizontal="center" vertical="center" textRotation="90"/>
    </xf>
    <xf numFmtId="0" fontId="23" fillId="8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/>
    </xf>
    <xf numFmtId="0" fontId="44" fillId="8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19" fillId="6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3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0" fontId="23" fillId="6" borderId="22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11" xfId="0" applyFont="1" applyFill="1" applyBorder="1" applyAlignment="1">
      <alignment horizontal="center" vertical="center"/>
    </xf>
    <xf numFmtId="0" fontId="23" fillId="8" borderId="6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 2" xfId="3" xr:uid="{8D202F3F-064C-4703-B14A-5A7A4B4CC9B8}"/>
    <cellStyle name="Normal 2 2 6" xfId="4" xr:uid="{D49EFA62-6014-4DED-98C2-A3EA6D1D24D4}"/>
    <cellStyle name="Percent" xfId="2" builtinId="5"/>
  </cellStyles>
  <dxfs count="51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gradientFill type="path" left="0.5" right="0.5" top="0.5" bottom="0.5">
          <stop position="0">
            <color theme="8" tint="0.40000610370189521"/>
          </stop>
          <stop position="1">
            <color theme="8" tint="-0.25098422193060094"/>
          </stop>
        </gradientFill>
      </fill>
    </dxf>
  </dxfs>
  <tableStyles count="0" defaultTableStyle="TableStyleMedium2" defaultPivotStyle="PivotStyleLight16"/>
  <colors>
    <mruColors>
      <color rgb="FFD8E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AP$21" fmlaRange="$AP$22:$AP$25" noThreeD="1" sel="1" val="0"/>
</file>

<file path=xl/ctrlProps/ctrlProp2.xml><?xml version="1.0" encoding="utf-8"?>
<formControlPr xmlns="http://schemas.microsoft.com/office/spreadsheetml/2009/9/main" objectType="Drop" dropStyle="combo" dx="22" fmlaLink="$AP$37" fmlaRange="$AP$38:$AP$42" noThreeD="1" sel="1" val="0"/>
</file>

<file path=xl/ctrlProps/ctrlProp3.xml><?xml version="1.0" encoding="utf-8"?>
<formControlPr xmlns="http://schemas.microsoft.com/office/spreadsheetml/2009/9/main" objectType="Drop" dropStyle="combo" dx="22" fmlaLink="$AP$51" fmlaRange="$AP$52:$AP$56" noThreeD="1" sel="2" val="0"/>
</file>

<file path=xl/ctrlProps/ctrlProp4.xml><?xml version="1.0" encoding="utf-8"?>
<formControlPr xmlns="http://schemas.microsoft.com/office/spreadsheetml/2009/9/main" objectType="CheckBox" checked="Checked" fmlaLink="L11" lockText="1" noThreeD="1"/>
</file>

<file path=xl/ctrlProps/ctrlProp5.xml><?xml version="1.0" encoding="utf-8"?>
<formControlPr xmlns="http://schemas.microsoft.com/office/spreadsheetml/2009/9/main" objectType="CheckBox" checked="Checked" fmlaLink="L12" lockText="1" noThreeD="1"/>
</file>

<file path=xl/ctrlProps/ctrlProp6.xml><?xml version="1.0" encoding="utf-8"?>
<formControlPr xmlns="http://schemas.microsoft.com/office/spreadsheetml/2009/9/main" objectType="CheckBox" checked="Checked" fmlaLink="L13" lockText="1" noThreeD="1"/>
</file>

<file path=xl/ctrlProps/ctrlProp7.xml><?xml version="1.0" encoding="utf-8"?>
<formControlPr xmlns="http://schemas.microsoft.com/office/spreadsheetml/2009/9/main" objectType="CheckBox" checked="Checked" fmlaLink="L14" lockText="1" noThreeD="1"/>
</file>

<file path=xl/ctrlProps/ctrlProp8.xml><?xml version="1.0" encoding="utf-8"?>
<formControlPr xmlns="http://schemas.microsoft.com/office/spreadsheetml/2009/9/main" objectType="Drop" dropStyle="combo" dx="22" fmlaLink="$K$18" fmlaRange="$L$18:$L$22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PAS!A1"/><Relationship Id="rId13" Type="http://schemas.openxmlformats.org/officeDocument/2006/relationships/hyperlink" Target="#TEATER!A1"/><Relationship Id="rId18" Type="http://schemas.openxmlformats.org/officeDocument/2006/relationships/hyperlink" Target="#MULOK3!A1"/><Relationship Id="rId3" Type="http://schemas.openxmlformats.org/officeDocument/2006/relationships/hyperlink" Target="#'MAPEL &amp; BOBOT'!A1"/><Relationship Id="rId21" Type="http://schemas.openxmlformats.org/officeDocument/2006/relationships/hyperlink" Target="#Ekstrakurikuler!A1"/><Relationship Id="rId7" Type="http://schemas.openxmlformats.org/officeDocument/2006/relationships/hyperlink" Target="#INDONESIA!A1"/><Relationship Id="rId12" Type="http://schemas.openxmlformats.org/officeDocument/2006/relationships/hyperlink" Target="#RUPA!A1"/><Relationship Id="rId17" Type="http://schemas.openxmlformats.org/officeDocument/2006/relationships/hyperlink" Target="#MULOK2!A1"/><Relationship Id="rId2" Type="http://schemas.openxmlformats.org/officeDocument/2006/relationships/hyperlink" Target="#'Identitas Siswa'!A1"/><Relationship Id="rId16" Type="http://schemas.openxmlformats.org/officeDocument/2006/relationships/hyperlink" Target="#MULOK1!A1"/><Relationship Id="rId20" Type="http://schemas.openxmlformats.org/officeDocument/2006/relationships/hyperlink" Target="#MULOK5!A1"/><Relationship Id="rId1" Type="http://schemas.openxmlformats.org/officeDocument/2006/relationships/hyperlink" Target="#'Profil Sekolah'!A1"/><Relationship Id="rId6" Type="http://schemas.openxmlformats.org/officeDocument/2006/relationships/hyperlink" Target="#AGAMA!A1"/><Relationship Id="rId11" Type="http://schemas.openxmlformats.org/officeDocument/2006/relationships/hyperlink" Target="#TARI!A1"/><Relationship Id="rId24" Type="http://schemas.openxmlformats.org/officeDocument/2006/relationships/hyperlink" Target="#NaikTidak!A1"/><Relationship Id="rId5" Type="http://schemas.openxmlformats.org/officeDocument/2006/relationships/hyperlink" Target="#PANCASILA!A1"/><Relationship Id="rId15" Type="http://schemas.openxmlformats.org/officeDocument/2006/relationships/hyperlink" Target="#INGGRIS!A1"/><Relationship Id="rId23" Type="http://schemas.openxmlformats.org/officeDocument/2006/relationships/hyperlink" Target="#Absensi!A1"/><Relationship Id="rId10" Type="http://schemas.openxmlformats.org/officeDocument/2006/relationships/hyperlink" Target="#MUSIK!A1"/><Relationship Id="rId19" Type="http://schemas.openxmlformats.org/officeDocument/2006/relationships/hyperlink" Target="#MULOK4!A1"/><Relationship Id="rId4" Type="http://schemas.openxmlformats.org/officeDocument/2006/relationships/hyperlink" Target="#TP!A1"/><Relationship Id="rId9" Type="http://schemas.openxmlformats.org/officeDocument/2006/relationships/hyperlink" Target="#MATEMATIKA!A1"/><Relationship Id="rId14" Type="http://schemas.openxmlformats.org/officeDocument/2006/relationships/hyperlink" Target="#PJOK!A1"/><Relationship Id="rId22" Type="http://schemas.openxmlformats.org/officeDocument/2006/relationships/hyperlink" Target="#'Catatan Guru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TP!R3"/><Relationship Id="rId13" Type="http://schemas.openxmlformats.org/officeDocument/2006/relationships/hyperlink" Target="#TP!BJ3"/><Relationship Id="rId3" Type="http://schemas.openxmlformats.org/officeDocument/2006/relationships/hyperlink" Target="#TP!AD3"/><Relationship Id="rId7" Type="http://schemas.openxmlformats.org/officeDocument/2006/relationships/hyperlink" Target="#TP!N3"/><Relationship Id="rId12" Type="http://schemas.openxmlformats.org/officeDocument/2006/relationships/hyperlink" Target="#TP!BF3"/><Relationship Id="rId2" Type="http://schemas.openxmlformats.org/officeDocument/2006/relationships/hyperlink" Target="#TP!Z3"/><Relationship Id="rId16" Type="http://schemas.openxmlformats.org/officeDocument/2006/relationships/hyperlink" Target="#TP!V3"/><Relationship Id="rId1" Type="http://schemas.openxmlformats.org/officeDocument/2006/relationships/hyperlink" Target="#TP!F3"/><Relationship Id="rId6" Type="http://schemas.openxmlformats.org/officeDocument/2006/relationships/hyperlink" Target="#TP!J3"/><Relationship Id="rId11" Type="http://schemas.openxmlformats.org/officeDocument/2006/relationships/hyperlink" Target="#TP!BB3"/><Relationship Id="rId5" Type="http://schemas.openxmlformats.org/officeDocument/2006/relationships/hyperlink" Target="#TP!AL3"/><Relationship Id="rId15" Type="http://schemas.openxmlformats.org/officeDocument/2006/relationships/hyperlink" Target="#TP!BN3"/><Relationship Id="rId10" Type="http://schemas.openxmlformats.org/officeDocument/2006/relationships/hyperlink" Target="#TP!AX3"/><Relationship Id="rId4" Type="http://schemas.openxmlformats.org/officeDocument/2006/relationships/hyperlink" Target="#TP!AH3"/><Relationship Id="rId9" Type="http://schemas.openxmlformats.org/officeDocument/2006/relationships/hyperlink" Target="#TP!AP3"/><Relationship Id="rId14" Type="http://schemas.openxmlformats.org/officeDocument/2006/relationships/hyperlink" Target="#TP!AT3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16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32845</xdr:colOff>
      <xdr:row>9</xdr:row>
      <xdr:rowOff>26276</xdr:rowOff>
    </xdr:from>
    <xdr:to>
      <xdr:col>1</xdr:col>
      <xdr:colOff>1169276</xdr:colOff>
      <xdr:row>9</xdr:row>
      <xdr:rowOff>179660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EFCBE2-320F-94E5-988B-3FC17192ACB0}"/>
            </a:ext>
          </a:extLst>
        </xdr:cNvPr>
        <xdr:cNvSpPr txBox="1"/>
      </xdr:nvSpPr>
      <xdr:spPr>
        <a:xfrm>
          <a:off x="407276" y="1793328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PROFIL</a:t>
          </a:r>
          <a:r>
            <a:rPr lang="en-ID" sz="900" b="1" baseline="0"/>
            <a:t> SEKOLAH</a:t>
          </a:r>
          <a:endParaRPr lang="en-ID" sz="900" b="1"/>
        </a:p>
      </xdr:txBody>
    </xdr:sp>
    <xdr:clientData/>
  </xdr:twoCellAnchor>
  <xdr:twoCellAnchor>
    <xdr:from>
      <xdr:col>1</xdr:col>
      <xdr:colOff>34159</xdr:colOff>
      <xdr:row>10</xdr:row>
      <xdr:rowOff>14452</xdr:rowOff>
    </xdr:from>
    <xdr:to>
      <xdr:col>1</xdr:col>
      <xdr:colOff>1170590</xdr:colOff>
      <xdr:row>10</xdr:row>
      <xdr:rowOff>167836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1121691-A713-4C07-9CB2-D2BDFA5F0E4B}"/>
            </a:ext>
          </a:extLst>
        </xdr:cNvPr>
        <xdr:cNvSpPr txBox="1"/>
      </xdr:nvSpPr>
      <xdr:spPr>
        <a:xfrm>
          <a:off x="408590" y="197200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IDENTITAS SISWA</a:t>
          </a:r>
        </a:p>
      </xdr:txBody>
    </xdr:sp>
    <xdr:clientData/>
  </xdr:twoCellAnchor>
  <xdr:twoCellAnchor>
    <xdr:from>
      <xdr:col>1</xdr:col>
      <xdr:colOff>29308</xdr:colOff>
      <xdr:row>11</xdr:row>
      <xdr:rowOff>29308</xdr:rowOff>
    </xdr:from>
    <xdr:to>
      <xdr:col>1</xdr:col>
      <xdr:colOff>1165739</xdr:colOff>
      <xdr:row>11</xdr:row>
      <xdr:rowOff>182692</xdr:rowOff>
    </xdr:to>
    <xdr:sp macro="" textlink="">
      <xdr:nvSpPr>
        <xdr:cNvPr id="5" name="TextBox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D74D09-B614-4154-8AC5-82BAD827B18A}"/>
            </a:ext>
          </a:extLst>
        </xdr:cNvPr>
        <xdr:cNvSpPr txBox="1"/>
      </xdr:nvSpPr>
      <xdr:spPr>
        <a:xfrm>
          <a:off x="402981" y="218342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MAPEL &amp; BOBOT</a:t>
          </a:r>
        </a:p>
      </xdr:txBody>
    </xdr:sp>
    <xdr:clientData/>
  </xdr:twoCellAnchor>
  <xdr:twoCellAnchor>
    <xdr:from>
      <xdr:col>1</xdr:col>
      <xdr:colOff>46463</xdr:colOff>
      <xdr:row>12</xdr:row>
      <xdr:rowOff>27879</xdr:rowOff>
    </xdr:from>
    <xdr:to>
      <xdr:col>1</xdr:col>
      <xdr:colOff>1182894</xdr:colOff>
      <xdr:row>12</xdr:row>
      <xdr:rowOff>181263</xdr:rowOff>
    </xdr:to>
    <xdr:sp macro="" textlink="">
      <xdr:nvSpPr>
        <xdr:cNvPr id="4" name="TextBox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CF5093D-90C8-4137-8884-BD24DE8608F3}"/>
            </a:ext>
          </a:extLst>
        </xdr:cNvPr>
        <xdr:cNvSpPr txBox="1"/>
      </xdr:nvSpPr>
      <xdr:spPr>
        <a:xfrm>
          <a:off x="418170" y="236963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T.P.</a:t>
          </a:r>
          <a:r>
            <a:rPr lang="en-ID" sz="900" b="1" baseline="0"/>
            <a:t> MAPEL</a:t>
          </a:r>
          <a:endParaRPr lang="en-ID" sz="900" b="1"/>
        </a:p>
      </xdr:txBody>
    </xdr:sp>
    <xdr:clientData/>
  </xdr:twoCellAnchor>
  <xdr:twoCellAnchor>
    <xdr:from>
      <xdr:col>4</xdr:col>
      <xdr:colOff>21879</xdr:colOff>
      <xdr:row>9</xdr:row>
      <xdr:rowOff>20213</xdr:rowOff>
    </xdr:from>
    <xdr:to>
      <xdr:col>4</xdr:col>
      <xdr:colOff>1158310</xdr:colOff>
      <xdr:row>9</xdr:row>
      <xdr:rowOff>173597</xdr:rowOff>
    </xdr:to>
    <xdr:sp macro="" textlink="">
      <xdr:nvSpPr>
        <xdr:cNvPr id="6" name="TextBox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B44CC9F-1677-45FC-BC82-EBB46398B261}"/>
            </a:ext>
          </a:extLst>
        </xdr:cNvPr>
        <xdr:cNvSpPr txBox="1"/>
      </xdr:nvSpPr>
      <xdr:spPr>
        <a:xfrm>
          <a:off x="3401349" y="179567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PANCASILA</a:t>
          </a:r>
        </a:p>
      </xdr:txBody>
    </xdr:sp>
    <xdr:clientData/>
  </xdr:twoCellAnchor>
  <xdr:twoCellAnchor>
    <xdr:from>
      <xdr:col>3</xdr:col>
      <xdr:colOff>14260</xdr:colOff>
      <xdr:row>9</xdr:row>
      <xdr:rowOff>18454</xdr:rowOff>
    </xdr:from>
    <xdr:to>
      <xdr:col>3</xdr:col>
      <xdr:colOff>1150691</xdr:colOff>
      <xdr:row>9</xdr:row>
      <xdr:rowOff>171838</xdr:rowOff>
    </xdr:to>
    <xdr:sp macro="" textlink="">
      <xdr:nvSpPr>
        <xdr:cNvPr id="7" name="TextBox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30A1F7-F9A5-49EF-A999-8F0C66F9F6FA}"/>
            </a:ext>
          </a:extLst>
        </xdr:cNvPr>
        <xdr:cNvSpPr txBox="1"/>
      </xdr:nvSpPr>
      <xdr:spPr>
        <a:xfrm>
          <a:off x="2029750" y="179391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AGAMA</a:t>
          </a:r>
        </a:p>
      </xdr:txBody>
    </xdr:sp>
    <xdr:clientData/>
  </xdr:twoCellAnchor>
  <xdr:twoCellAnchor>
    <xdr:from>
      <xdr:col>3</xdr:col>
      <xdr:colOff>14260</xdr:colOff>
      <xdr:row>10</xdr:row>
      <xdr:rowOff>17281</xdr:rowOff>
    </xdr:from>
    <xdr:to>
      <xdr:col>3</xdr:col>
      <xdr:colOff>1150691</xdr:colOff>
      <xdr:row>10</xdr:row>
      <xdr:rowOff>170665</xdr:rowOff>
    </xdr:to>
    <xdr:sp macro="" textlink="">
      <xdr:nvSpPr>
        <xdr:cNvPr id="8" name="TextBox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DC899B2-3926-415C-965A-C19D20D593F7}"/>
            </a:ext>
          </a:extLst>
        </xdr:cNvPr>
        <xdr:cNvSpPr txBox="1"/>
      </xdr:nvSpPr>
      <xdr:spPr>
        <a:xfrm>
          <a:off x="2029750" y="1983241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B. INDONESIA</a:t>
          </a:r>
        </a:p>
      </xdr:txBody>
    </xdr:sp>
    <xdr:clientData/>
  </xdr:twoCellAnchor>
  <xdr:twoCellAnchor>
    <xdr:from>
      <xdr:col>3</xdr:col>
      <xdr:colOff>14260</xdr:colOff>
      <xdr:row>11</xdr:row>
      <xdr:rowOff>24314</xdr:rowOff>
    </xdr:from>
    <xdr:to>
      <xdr:col>3</xdr:col>
      <xdr:colOff>1150691</xdr:colOff>
      <xdr:row>11</xdr:row>
      <xdr:rowOff>177698</xdr:rowOff>
    </xdr:to>
    <xdr:sp macro="" textlink="">
      <xdr:nvSpPr>
        <xdr:cNvPr id="9" name="TextBox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D704D8-DF40-42DA-A8DF-FE75D8604DCB}"/>
            </a:ext>
          </a:extLst>
        </xdr:cNvPr>
        <xdr:cNvSpPr txBox="1"/>
      </xdr:nvSpPr>
      <xdr:spPr>
        <a:xfrm>
          <a:off x="2029750" y="218077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IPAS</a:t>
          </a:r>
        </a:p>
      </xdr:txBody>
    </xdr:sp>
    <xdr:clientData/>
  </xdr:twoCellAnchor>
  <xdr:twoCellAnchor>
    <xdr:from>
      <xdr:col>3</xdr:col>
      <xdr:colOff>14260</xdr:colOff>
      <xdr:row>12</xdr:row>
      <xdr:rowOff>21383</xdr:rowOff>
    </xdr:from>
    <xdr:to>
      <xdr:col>3</xdr:col>
      <xdr:colOff>1150691</xdr:colOff>
      <xdr:row>12</xdr:row>
      <xdr:rowOff>174767</xdr:rowOff>
    </xdr:to>
    <xdr:sp macro="" textlink="">
      <xdr:nvSpPr>
        <xdr:cNvPr id="10" name="TextBox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A6732B-0341-40ED-9440-6B92F10BF43A}"/>
            </a:ext>
          </a:extLst>
        </xdr:cNvPr>
        <xdr:cNvSpPr txBox="1"/>
      </xdr:nvSpPr>
      <xdr:spPr>
        <a:xfrm>
          <a:off x="2029750" y="236834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MATEMATIKA</a:t>
          </a:r>
        </a:p>
      </xdr:txBody>
    </xdr:sp>
    <xdr:clientData/>
  </xdr:twoCellAnchor>
  <xdr:twoCellAnchor>
    <xdr:from>
      <xdr:col>3</xdr:col>
      <xdr:colOff>14260</xdr:colOff>
      <xdr:row>13</xdr:row>
      <xdr:rowOff>19624</xdr:rowOff>
    </xdr:from>
    <xdr:to>
      <xdr:col>3</xdr:col>
      <xdr:colOff>1150691</xdr:colOff>
      <xdr:row>13</xdr:row>
      <xdr:rowOff>173008</xdr:rowOff>
    </xdr:to>
    <xdr:sp macro="" textlink="">
      <xdr:nvSpPr>
        <xdr:cNvPr id="11" name="TextBox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D102B0-C0A9-4D49-8922-964A3135560D}"/>
            </a:ext>
          </a:extLst>
        </xdr:cNvPr>
        <xdr:cNvSpPr txBox="1"/>
      </xdr:nvSpPr>
      <xdr:spPr>
        <a:xfrm>
          <a:off x="2029750" y="256851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MUSIK</a:t>
          </a:r>
        </a:p>
      </xdr:txBody>
    </xdr:sp>
    <xdr:clientData/>
  </xdr:twoCellAnchor>
  <xdr:twoCellAnchor>
    <xdr:from>
      <xdr:col>3</xdr:col>
      <xdr:colOff>14260</xdr:colOff>
      <xdr:row>14</xdr:row>
      <xdr:rowOff>17866</xdr:rowOff>
    </xdr:from>
    <xdr:to>
      <xdr:col>3</xdr:col>
      <xdr:colOff>1150691</xdr:colOff>
      <xdr:row>14</xdr:row>
      <xdr:rowOff>171250</xdr:rowOff>
    </xdr:to>
    <xdr:sp macro="" textlink="">
      <xdr:nvSpPr>
        <xdr:cNvPr id="12" name="TextBox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B71364D-6AD7-4035-B3C2-52049405210E}"/>
            </a:ext>
          </a:extLst>
        </xdr:cNvPr>
        <xdr:cNvSpPr txBox="1"/>
      </xdr:nvSpPr>
      <xdr:spPr>
        <a:xfrm>
          <a:off x="2029750" y="2757256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TARI</a:t>
          </a:r>
        </a:p>
      </xdr:txBody>
    </xdr:sp>
    <xdr:clientData/>
  </xdr:twoCellAnchor>
  <xdr:twoCellAnchor>
    <xdr:from>
      <xdr:col>3</xdr:col>
      <xdr:colOff>14260</xdr:colOff>
      <xdr:row>15</xdr:row>
      <xdr:rowOff>17280</xdr:rowOff>
    </xdr:from>
    <xdr:to>
      <xdr:col>3</xdr:col>
      <xdr:colOff>1150691</xdr:colOff>
      <xdr:row>15</xdr:row>
      <xdr:rowOff>170664</xdr:rowOff>
    </xdr:to>
    <xdr:sp macro="" textlink="">
      <xdr:nvSpPr>
        <xdr:cNvPr id="13" name="TextBox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B83E786-16A2-4BA0-89E4-CA813AF0933C}"/>
            </a:ext>
          </a:extLst>
        </xdr:cNvPr>
        <xdr:cNvSpPr txBox="1"/>
      </xdr:nvSpPr>
      <xdr:spPr>
        <a:xfrm>
          <a:off x="2029750" y="2947170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RUPA</a:t>
          </a:r>
        </a:p>
      </xdr:txBody>
    </xdr:sp>
    <xdr:clientData/>
  </xdr:twoCellAnchor>
  <xdr:twoCellAnchor>
    <xdr:from>
      <xdr:col>3</xdr:col>
      <xdr:colOff>14260</xdr:colOff>
      <xdr:row>16</xdr:row>
      <xdr:rowOff>24020</xdr:rowOff>
    </xdr:from>
    <xdr:to>
      <xdr:col>3</xdr:col>
      <xdr:colOff>1150691</xdr:colOff>
      <xdr:row>16</xdr:row>
      <xdr:rowOff>177404</xdr:rowOff>
    </xdr:to>
    <xdr:sp macro="" textlink="">
      <xdr:nvSpPr>
        <xdr:cNvPr id="14" name="TextBox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57B434-0401-4E76-BB74-D50D3A82945F}"/>
            </a:ext>
          </a:extLst>
        </xdr:cNvPr>
        <xdr:cNvSpPr txBox="1"/>
      </xdr:nvSpPr>
      <xdr:spPr>
        <a:xfrm>
          <a:off x="2029750" y="3144410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TEATER</a:t>
          </a:r>
        </a:p>
      </xdr:txBody>
    </xdr:sp>
    <xdr:clientData/>
  </xdr:twoCellAnchor>
  <xdr:twoCellAnchor>
    <xdr:from>
      <xdr:col>4</xdr:col>
      <xdr:colOff>21879</xdr:colOff>
      <xdr:row>10</xdr:row>
      <xdr:rowOff>26075</xdr:rowOff>
    </xdr:from>
    <xdr:to>
      <xdr:col>4</xdr:col>
      <xdr:colOff>1158310</xdr:colOff>
      <xdr:row>10</xdr:row>
      <xdr:rowOff>179459</xdr:rowOff>
    </xdr:to>
    <xdr:sp macro="" textlink="">
      <xdr:nvSpPr>
        <xdr:cNvPr id="16" name="TextBox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6923429-56B9-41E5-8883-494C99702E76}"/>
            </a:ext>
          </a:extLst>
        </xdr:cNvPr>
        <xdr:cNvSpPr txBox="1"/>
      </xdr:nvSpPr>
      <xdr:spPr>
        <a:xfrm>
          <a:off x="3401349" y="199203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PJOK</a:t>
          </a:r>
        </a:p>
      </xdr:txBody>
    </xdr:sp>
    <xdr:clientData/>
  </xdr:twoCellAnchor>
  <xdr:twoCellAnchor>
    <xdr:from>
      <xdr:col>4</xdr:col>
      <xdr:colOff>21879</xdr:colOff>
      <xdr:row>11</xdr:row>
      <xdr:rowOff>22265</xdr:rowOff>
    </xdr:from>
    <xdr:to>
      <xdr:col>4</xdr:col>
      <xdr:colOff>1158310</xdr:colOff>
      <xdr:row>11</xdr:row>
      <xdr:rowOff>175649</xdr:rowOff>
    </xdr:to>
    <xdr:sp macro="" textlink="">
      <xdr:nvSpPr>
        <xdr:cNvPr id="17" name="TextBox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80B1C16-E737-42BE-BF37-B987F836F050}"/>
            </a:ext>
          </a:extLst>
        </xdr:cNvPr>
        <xdr:cNvSpPr txBox="1"/>
      </xdr:nvSpPr>
      <xdr:spPr>
        <a:xfrm>
          <a:off x="3401349" y="217872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BAHASA INGGRIS</a:t>
          </a:r>
        </a:p>
      </xdr:txBody>
    </xdr:sp>
    <xdr:clientData/>
  </xdr:twoCellAnchor>
  <xdr:twoCellAnchor>
    <xdr:from>
      <xdr:col>4</xdr:col>
      <xdr:colOff>21879</xdr:colOff>
      <xdr:row>12</xdr:row>
      <xdr:rowOff>22265</xdr:rowOff>
    </xdr:from>
    <xdr:to>
      <xdr:col>4</xdr:col>
      <xdr:colOff>1158310</xdr:colOff>
      <xdr:row>12</xdr:row>
      <xdr:rowOff>175649</xdr:rowOff>
    </xdr:to>
    <xdr:sp macro="" textlink="">
      <xdr:nvSpPr>
        <xdr:cNvPr id="18" name="TextBox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0470CD-E12A-4635-866D-9D922086D9CA}"/>
            </a:ext>
          </a:extLst>
        </xdr:cNvPr>
        <xdr:cNvSpPr txBox="1"/>
      </xdr:nvSpPr>
      <xdr:spPr>
        <a:xfrm>
          <a:off x="3401349" y="236922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MULOK 1</a:t>
          </a:r>
        </a:p>
      </xdr:txBody>
    </xdr:sp>
    <xdr:clientData/>
  </xdr:twoCellAnchor>
  <xdr:twoCellAnchor>
    <xdr:from>
      <xdr:col>4</xdr:col>
      <xdr:colOff>21879</xdr:colOff>
      <xdr:row>13</xdr:row>
      <xdr:rowOff>18455</xdr:rowOff>
    </xdr:from>
    <xdr:to>
      <xdr:col>4</xdr:col>
      <xdr:colOff>1158310</xdr:colOff>
      <xdr:row>13</xdr:row>
      <xdr:rowOff>171839</xdr:rowOff>
    </xdr:to>
    <xdr:sp macro="" textlink="">
      <xdr:nvSpPr>
        <xdr:cNvPr id="19" name="TextBox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B01035-D145-4ECB-AC20-56A2261372DF}"/>
            </a:ext>
          </a:extLst>
        </xdr:cNvPr>
        <xdr:cNvSpPr txBox="1"/>
      </xdr:nvSpPr>
      <xdr:spPr>
        <a:xfrm>
          <a:off x="3401349" y="256734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2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14</xdr:row>
      <xdr:rowOff>22265</xdr:rowOff>
    </xdr:from>
    <xdr:to>
      <xdr:col>4</xdr:col>
      <xdr:colOff>1158310</xdr:colOff>
      <xdr:row>14</xdr:row>
      <xdr:rowOff>175649</xdr:rowOff>
    </xdr:to>
    <xdr:sp macro="" textlink="">
      <xdr:nvSpPr>
        <xdr:cNvPr id="20" name="TextBox 1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221B60F-B710-40D8-8172-D396744DF0B2}"/>
            </a:ext>
          </a:extLst>
        </xdr:cNvPr>
        <xdr:cNvSpPr txBox="1"/>
      </xdr:nvSpPr>
      <xdr:spPr>
        <a:xfrm>
          <a:off x="3401349" y="27616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3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15</xdr:row>
      <xdr:rowOff>22265</xdr:rowOff>
    </xdr:from>
    <xdr:to>
      <xdr:col>4</xdr:col>
      <xdr:colOff>1158310</xdr:colOff>
      <xdr:row>15</xdr:row>
      <xdr:rowOff>175649</xdr:rowOff>
    </xdr:to>
    <xdr:sp macro="" textlink="">
      <xdr:nvSpPr>
        <xdr:cNvPr id="21" name="TextBox 2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6F6E754D-C3E1-4ADB-9518-E1C5BB172ECA}"/>
            </a:ext>
          </a:extLst>
        </xdr:cNvPr>
        <xdr:cNvSpPr txBox="1"/>
      </xdr:nvSpPr>
      <xdr:spPr>
        <a:xfrm>
          <a:off x="3401349" y="29521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4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16</xdr:row>
      <xdr:rowOff>22265</xdr:rowOff>
    </xdr:from>
    <xdr:to>
      <xdr:col>4</xdr:col>
      <xdr:colOff>1158310</xdr:colOff>
      <xdr:row>16</xdr:row>
      <xdr:rowOff>175649</xdr:rowOff>
    </xdr:to>
    <xdr:sp macro="" textlink="">
      <xdr:nvSpPr>
        <xdr:cNvPr id="22" name="TextBox 2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EA7D0A8-0A33-4B1F-98CD-89DF0E7EC0FB}"/>
            </a:ext>
          </a:extLst>
        </xdr:cNvPr>
        <xdr:cNvSpPr txBox="1"/>
      </xdr:nvSpPr>
      <xdr:spPr>
        <a:xfrm>
          <a:off x="3401349" y="31426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5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9</xdr:row>
      <xdr:rowOff>21772</xdr:rowOff>
    </xdr:from>
    <xdr:to>
      <xdr:col>7</xdr:col>
      <xdr:colOff>197184</xdr:colOff>
      <xdr:row>9</xdr:row>
      <xdr:rowOff>175156</xdr:rowOff>
    </xdr:to>
    <xdr:sp macro="" textlink="">
      <xdr:nvSpPr>
        <xdr:cNvPr id="23" name="TextBox 2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9968A7-A96D-445E-BE41-66F526C8EB1D}"/>
            </a:ext>
          </a:extLst>
        </xdr:cNvPr>
        <xdr:cNvSpPr txBox="1"/>
      </xdr:nvSpPr>
      <xdr:spPr>
        <a:xfrm>
          <a:off x="4953000" y="1796143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EKSTRAKURIKULER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10</xdr:row>
      <xdr:rowOff>23586</xdr:rowOff>
    </xdr:from>
    <xdr:to>
      <xdr:col>7</xdr:col>
      <xdr:colOff>197184</xdr:colOff>
      <xdr:row>10</xdr:row>
      <xdr:rowOff>176970</xdr:rowOff>
    </xdr:to>
    <xdr:sp macro="" textlink="">
      <xdr:nvSpPr>
        <xdr:cNvPr id="15" name="TextBox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9DC4263-2BB8-4E13-AB25-0705AD60F303}"/>
            </a:ext>
          </a:extLst>
        </xdr:cNvPr>
        <xdr:cNvSpPr txBox="1"/>
      </xdr:nvSpPr>
      <xdr:spPr>
        <a:xfrm>
          <a:off x="4953000" y="1988457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CATATAN GURU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11</xdr:row>
      <xdr:rowOff>25400</xdr:rowOff>
    </xdr:from>
    <xdr:to>
      <xdr:col>7</xdr:col>
      <xdr:colOff>197184</xdr:colOff>
      <xdr:row>11</xdr:row>
      <xdr:rowOff>178784</xdr:rowOff>
    </xdr:to>
    <xdr:sp macro="" textlink="">
      <xdr:nvSpPr>
        <xdr:cNvPr id="24" name="TextBox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E7C1F0F-E8D6-474E-AB16-D318E6D3DE54}"/>
            </a:ext>
          </a:extLst>
        </xdr:cNvPr>
        <xdr:cNvSpPr txBox="1"/>
      </xdr:nvSpPr>
      <xdr:spPr>
        <a:xfrm>
          <a:off x="4953000" y="2180771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ABSENSI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12</xdr:row>
      <xdr:rowOff>27215</xdr:rowOff>
    </xdr:from>
    <xdr:to>
      <xdr:col>7</xdr:col>
      <xdr:colOff>197184</xdr:colOff>
      <xdr:row>12</xdr:row>
      <xdr:rowOff>180599</xdr:rowOff>
    </xdr:to>
    <xdr:sp macro="" textlink="">
      <xdr:nvSpPr>
        <xdr:cNvPr id="25" name="TextBox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810F46E-7BAC-4733-A73E-F7C961D4612E}"/>
            </a:ext>
          </a:extLst>
        </xdr:cNvPr>
        <xdr:cNvSpPr txBox="1"/>
      </xdr:nvSpPr>
      <xdr:spPr>
        <a:xfrm>
          <a:off x="4953000" y="2373086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KET. NAIK/TIDAK</a:t>
          </a:r>
          <a:endParaRPr lang="en-ID" sz="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13</xdr:row>
          <xdr:rowOff>133350</xdr:rowOff>
        </xdr:from>
        <xdr:to>
          <xdr:col>7</xdr:col>
          <xdr:colOff>695325</xdr:colOff>
          <xdr:row>15</xdr:row>
          <xdr:rowOff>9525</xdr:rowOff>
        </xdr:to>
        <xdr:sp macro="" textlink="">
          <xdr:nvSpPr>
            <xdr:cNvPr id="5125" name="PIAGAM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962025</xdr:colOff>
          <xdr:row>15</xdr:row>
          <xdr:rowOff>47625</xdr:rowOff>
        </xdr:from>
        <xdr:to>
          <xdr:col>7</xdr:col>
          <xdr:colOff>695325</xdr:colOff>
          <xdr:row>16</xdr:row>
          <xdr:rowOff>104775</xdr:rowOff>
        </xdr:to>
        <xdr:sp macro="" textlink="">
          <xdr:nvSpPr>
            <xdr:cNvPr id="5126" name="RAPOR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15</xdr:row>
          <xdr:rowOff>47625</xdr:rowOff>
        </xdr:from>
        <xdr:to>
          <xdr:col>6</xdr:col>
          <xdr:colOff>847725</xdr:colOff>
          <xdr:row>16</xdr:row>
          <xdr:rowOff>104775</xdr:rowOff>
        </xdr:to>
        <xdr:sp macro="" textlink="">
          <xdr:nvSpPr>
            <xdr:cNvPr id="5127" name="SAMPU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13</xdr:row>
          <xdr:rowOff>133350</xdr:rowOff>
        </xdr:from>
        <xdr:to>
          <xdr:col>6</xdr:col>
          <xdr:colOff>847725</xdr:colOff>
          <xdr:row>15</xdr:row>
          <xdr:rowOff>0</xdr:rowOff>
        </xdr:to>
        <xdr:sp macro="" textlink="">
          <xdr:nvSpPr>
            <xdr:cNvPr id="5129" name="REKAP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19050</xdr:rowOff>
        </xdr:from>
        <xdr:to>
          <xdr:col>5</xdr:col>
          <xdr:colOff>1438275</xdr:colOff>
          <xdr:row>4</xdr:row>
          <xdr:rowOff>142875</xdr:rowOff>
        </xdr:to>
        <xdr:sp macro="" textlink="">
          <xdr:nvSpPr>
            <xdr:cNvPr id="1041" name="MENU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4</xdr:row>
          <xdr:rowOff>190500</xdr:rowOff>
        </xdr:from>
        <xdr:to>
          <xdr:col>5</xdr:col>
          <xdr:colOff>1428750</xdr:colOff>
          <xdr:row>6</xdr:row>
          <xdr:rowOff>0</xdr:rowOff>
        </xdr:to>
        <xdr:sp macro="" textlink="">
          <xdr:nvSpPr>
            <xdr:cNvPr id="1042" name="HapusDataProfil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4</xdr:row>
          <xdr:rowOff>200025</xdr:rowOff>
        </xdr:from>
        <xdr:to>
          <xdr:col>5</xdr:col>
          <xdr:colOff>266700</xdr:colOff>
          <xdr:row>6</xdr:row>
          <xdr:rowOff>9525</xdr:rowOff>
        </xdr:to>
        <xdr:sp macro="" textlink="">
          <xdr:nvSpPr>
            <xdr:cNvPr id="1043" name="UndoHapusProfilSekola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133350</xdr:rowOff>
        </xdr:from>
        <xdr:to>
          <xdr:col>2</xdr:col>
          <xdr:colOff>666750</xdr:colOff>
          <xdr:row>4</xdr:row>
          <xdr:rowOff>66675</xdr:rowOff>
        </xdr:to>
        <xdr:sp macro="" textlink="">
          <xdr:nvSpPr>
            <xdr:cNvPr id="3077" name="MENU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</xdr:row>
          <xdr:rowOff>219075</xdr:rowOff>
        </xdr:from>
        <xdr:to>
          <xdr:col>42</xdr:col>
          <xdr:colOff>600075</xdr:colOff>
          <xdr:row>5</xdr:row>
          <xdr:rowOff>133350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51954</xdr:colOff>
      <xdr:row>8</xdr:row>
      <xdr:rowOff>65990</xdr:rowOff>
    </xdr:from>
    <xdr:to>
      <xdr:col>40</xdr:col>
      <xdr:colOff>17319</xdr:colOff>
      <xdr:row>8</xdr:row>
      <xdr:rowOff>65990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686636E-426A-42C7-BD67-335E7E1755D1}"/>
            </a:ext>
          </a:extLst>
        </xdr:cNvPr>
        <xdr:cNvCxnSpPr/>
      </xdr:nvCxnSpPr>
      <xdr:spPr>
        <a:xfrm>
          <a:off x="1264227" y="2248081"/>
          <a:ext cx="10893137" cy="0"/>
        </a:xfrm>
        <a:prstGeom prst="line">
          <a:avLst/>
        </a:prstGeom>
        <a:ln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280205</xdr:colOff>
      <xdr:row>1</xdr:row>
      <xdr:rowOff>448237</xdr:rowOff>
    </xdr:from>
    <xdr:to>
      <xdr:col>8</xdr:col>
      <xdr:colOff>2547</xdr:colOff>
      <xdr:row>6</xdr:row>
      <xdr:rowOff>168088</xdr:rowOff>
    </xdr:to>
    <xdr:pic>
      <xdr:nvPicPr>
        <xdr:cNvPr id="7" name="Picture 6" descr="http://1.bp.blogspot.com/-WjlRZ1iDXyA/U3oC_NXWKDI/AAAAAAABCJs/YQ3zyAY5yvU/s1600/Tut-Wuri-Handayani_Oke.png">
          <a:extLst>
            <a:ext uri="{FF2B5EF4-FFF2-40B4-BE49-F238E27FC236}">
              <a16:creationId xmlns:a16="http://schemas.microsoft.com/office/drawing/2014/main" id="{7DDC9CD6-DB8E-4CD8-A246-4FD5AB7F6138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72293" y="694766"/>
          <a:ext cx="1011019" cy="123264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76200</xdr:colOff>
          <xdr:row>0</xdr:row>
          <xdr:rowOff>228600</xdr:rowOff>
        </xdr:from>
        <xdr:to>
          <xdr:col>42</xdr:col>
          <xdr:colOff>457200</xdr:colOff>
          <xdr:row>2</xdr:row>
          <xdr:rowOff>76200</xdr:rowOff>
        </xdr:to>
        <xdr:sp macro="" textlink="">
          <xdr:nvSpPr>
            <xdr:cNvPr id="56322" name="SpinButton1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3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40</xdr:col>
      <xdr:colOff>190499</xdr:colOff>
      <xdr:row>0</xdr:row>
      <xdr:rowOff>238125</xdr:rowOff>
    </xdr:from>
    <xdr:to>
      <xdr:col>42</xdr:col>
      <xdr:colOff>9524</xdr:colOff>
      <xdr:row>2</xdr:row>
      <xdr:rowOff>66675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F398651-DD7D-43ED-8511-3E5F6DF95E0B}"/>
            </a:ext>
          </a:extLst>
        </xdr:cNvPr>
        <xdr:cNvSpPr/>
      </xdr:nvSpPr>
      <xdr:spPr>
        <a:xfrm>
          <a:off x="12172949" y="238125"/>
          <a:ext cx="619125" cy="561975"/>
        </a:xfrm>
        <a:custGeom>
          <a:avLst/>
          <a:gdLst>
            <a:gd name="connsiteX0" fmla="*/ 0 w 619125"/>
            <a:gd name="connsiteY0" fmla="*/ 0 h 561975"/>
            <a:gd name="connsiteX1" fmla="*/ 303371 w 619125"/>
            <a:gd name="connsiteY1" fmla="*/ 0 h 561975"/>
            <a:gd name="connsiteX2" fmla="*/ 619125 w 619125"/>
            <a:gd name="connsiteY2" fmla="*/ 0 h 561975"/>
            <a:gd name="connsiteX3" fmla="*/ 619125 w 619125"/>
            <a:gd name="connsiteY3" fmla="*/ 561975 h 561975"/>
            <a:gd name="connsiteX4" fmla="*/ 309563 w 619125"/>
            <a:gd name="connsiteY4" fmla="*/ 561975 h 561975"/>
            <a:gd name="connsiteX5" fmla="*/ 0 w 619125"/>
            <a:gd name="connsiteY5" fmla="*/ 561975 h 561975"/>
            <a:gd name="connsiteX6" fmla="*/ 0 w 619125"/>
            <a:gd name="connsiteY6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19125" h="561975" extrusionOk="0">
              <a:moveTo>
                <a:pt x="0" y="0"/>
              </a:moveTo>
              <a:cubicBezTo>
                <a:pt x="121699" y="-28033"/>
                <a:pt x="207991" y="23990"/>
                <a:pt x="303371" y="0"/>
              </a:cubicBezTo>
              <a:cubicBezTo>
                <a:pt x="398751" y="-23990"/>
                <a:pt x="492703" y="16795"/>
                <a:pt x="619125" y="0"/>
              </a:cubicBezTo>
              <a:cubicBezTo>
                <a:pt x="639595" y="167409"/>
                <a:pt x="602417" y="375591"/>
                <a:pt x="619125" y="561975"/>
              </a:cubicBezTo>
              <a:cubicBezTo>
                <a:pt x="504216" y="590465"/>
                <a:pt x="374257" y="533937"/>
                <a:pt x="309563" y="561975"/>
              </a:cubicBezTo>
              <a:cubicBezTo>
                <a:pt x="244869" y="590013"/>
                <a:pt x="137448" y="529829"/>
                <a:pt x="0" y="561975"/>
              </a:cubicBezTo>
              <a:cubicBezTo>
                <a:pt x="-52795" y="353896"/>
                <a:pt x="53007" y="130747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38100</xdr:rowOff>
        </xdr:from>
        <xdr:to>
          <xdr:col>10</xdr:col>
          <xdr:colOff>66675</xdr:colOff>
          <xdr:row>0</xdr:row>
          <xdr:rowOff>371475</xdr:rowOff>
        </xdr:to>
        <xdr:sp macro="" textlink="">
          <xdr:nvSpPr>
            <xdr:cNvPr id="58369" name="CommandButton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0</xdr:row>
          <xdr:rowOff>38100</xdr:rowOff>
        </xdr:from>
        <xdr:to>
          <xdr:col>35</xdr:col>
          <xdr:colOff>57150</xdr:colOff>
          <xdr:row>0</xdr:row>
          <xdr:rowOff>361950</xdr:rowOff>
        </xdr:to>
        <xdr:sp macro="" textlink="">
          <xdr:nvSpPr>
            <xdr:cNvPr id="58383" name="SpinButton1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19050</xdr:rowOff>
        </xdr:from>
        <xdr:to>
          <xdr:col>10</xdr:col>
          <xdr:colOff>19050</xdr:colOff>
          <xdr:row>20</xdr:row>
          <xdr:rowOff>180975</xdr:rowOff>
        </xdr:to>
        <xdr:sp macro="" textlink="">
          <xdr:nvSpPr>
            <xdr:cNvPr id="58384" name="Drop Dow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36</xdr:row>
          <xdr:rowOff>19050</xdr:rowOff>
        </xdr:from>
        <xdr:to>
          <xdr:col>9</xdr:col>
          <xdr:colOff>76200</xdr:colOff>
          <xdr:row>36</xdr:row>
          <xdr:rowOff>171450</xdr:rowOff>
        </xdr:to>
        <xdr:sp macro="" textlink="">
          <xdr:nvSpPr>
            <xdr:cNvPr id="58385" name="Drop Dow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4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18</xdr:col>
      <xdr:colOff>179349</xdr:colOff>
      <xdr:row>59</xdr:row>
      <xdr:rowOff>149087</xdr:rowOff>
    </xdr:from>
    <xdr:to>
      <xdr:col>35</xdr:col>
      <xdr:colOff>55112</xdr:colOff>
      <xdr:row>64</xdr:row>
      <xdr:rowOff>57978</xdr:rowOff>
    </xdr:to>
    <xdr:sp macro="" textlink="">
      <xdr:nvSpPr>
        <xdr:cNvPr id="3" name="ShapePenutupSemester">
          <a:extLst>
            <a:ext uri="{FF2B5EF4-FFF2-40B4-BE49-F238E27FC236}">
              <a16:creationId xmlns:a16="http://schemas.microsoft.com/office/drawing/2014/main" id="{A7E2AFAC-0283-887F-4F76-F31B2DF0CDD3}"/>
            </a:ext>
          </a:extLst>
        </xdr:cNvPr>
        <xdr:cNvSpPr/>
      </xdr:nvSpPr>
      <xdr:spPr>
        <a:xfrm>
          <a:off x="4494045" y="13932322"/>
          <a:ext cx="3080645" cy="861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50</xdr:row>
          <xdr:rowOff>19050</xdr:rowOff>
        </xdr:from>
        <xdr:to>
          <xdr:col>13</xdr:col>
          <xdr:colOff>66675</xdr:colOff>
          <xdr:row>50</xdr:row>
          <xdr:rowOff>161925</xdr:rowOff>
        </xdr:to>
        <xdr:sp macro="" textlink="">
          <xdr:nvSpPr>
            <xdr:cNvPr id="58386" name="Drop Dow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4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152401</xdr:colOff>
      <xdr:row>0</xdr:row>
      <xdr:rowOff>47625</xdr:rowOff>
    </xdr:from>
    <xdr:to>
      <xdr:col>24</xdr:col>
      <xdr:colOff>1</xdr:colOff>
      <xdr:row>0</xdr:row>
      <xdr:rowOff>381000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A29C20-DA00-3840-E47D-B2DA23BF58FD}"/>
            </a:ext>
          </a:extLst>
        </xdr:cNvPr>
        <xdr:cNvSpPr/>
      </xdr:nvSpPr>
      <xdr:spPr>
        <a:xfrm>
          <a:off x="2962276" y="47625"/>
          <a:ext cx="2514600" cy="333375"/>
        </a:xfrm>
        <a:custGeom>
          <a:avLst/>
          <a:gdLst>
            <a:gd name="connsiteX0" fmla="*/ 0 w 2514600"/>
            <a:gd name="connsiteY0" fmla="*/ 0 h 333375"/>
            <a:gd name="connsiteX1" fmla="*/ 477774 w 2514600"/>
            <a:gd name="connsiteY1" fmla="*/ 0 h 333375"/>
            <a:gd name="connsiteX2" fmla="*/ 905256 w 2514600"/>
            <a:gd name="connsiteY2" fmla="*/ 0 h 333375"/>
            <a:gd name="connsiteX3" fmla="*/ 1458468 w 2514600"/>
            <a:gd name="connsiteY3" fmla="*/ 0 h 333375"/>
            <a:gd name="connsiteX4" fmla="*/ 1936242 w 2514600"/>
            <a:gd name="connsiteY4" fmla="*/ 0 h 333375"/>
            <a:gd name="connsiteX5" fmla="*/ 2514600 w 2514600"/>
            <a:gd name="connsiteY5" fmla="*/ 0 h 333375"/>
            <a:gd name="connsiteX6" fmla="*/ 2514600 w 2514600"/>
            <a:gd name="connsiteY6" fmla="*/ 333375 h 333375"/>
            <a:gd name="connsiteX7" fmla="*/ 2011680 w 2514600"/>
            <a:gd name="connsiteY7" fmla="*/ 333375 h 333375"/>
            <a:gd name="connsiteX8" fmla="*/ 1458468 w 2514600"/>
            <a:gd name="connsiteY8" fmla="*/ 333375 h 333375"/>
            <a:gd name="connsiteX9" fmla="*/ 1030986 w 2514600"/>
            <a:gd name="connsiteY9" fmla="*/ 333375 h 333375"/>
            <a:gd name="connsiteX10" fmla="*/ 528066 w 2514600"/>
            <a:gd name="connsiteY10" fmla="*/ 333375 h 333375"/>
            <a:gd name="connsiteX11" fmla="*/ 0 w 2514600"/>
            <a:gd name="connsiteY11" fmla="*/ 333375 h 333375"/>
            <a:gd name="connsiteX12" fmla="*/ 0 w 2514600"/>
            <a:gd name="connsiteY12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2514600" h="333375" extrusionOk="0">
              <a:moveTo>
                <a:pt x="0" y="0"/>
              </a:moveTo>
              <a:cubicBezTo>
                <a:pt x="128694" y="-32453"/>
                <a:pt x="353071" y="34594"/>
                <a:pt x="477774" y="0"/>
              </a:cubicBezTo>
              <a:cubicBezTo>
                <a:pt x="602477" y="-34594"/>
                <a:pt x="801373" y="42413"/>
                <a:pt x="905256" y="0"/>
              </a:cubicBezTo>
              <a:cubicBezTo>
                <a:pt x="1009139" y="-42413"/>
                <a:pt x="1205756" y="9019"/>
                <a:pt x="1458468" y="0"/>
              </a:cubicBezTo>
              <a:cubicBezTo>
                <a:pt x="1711180" y="-9019"/>
                <a:pt x="1755025" y="25897"/>
                <a:pt x="1936242" y="0"/>
              </a:cubicBezTo>
              <a:cubicBezTo>
                <a:pt x="2117459" y="-25897"/>
                <a:pt x="2332499" y="64965"/>
                <a:pt x="2514600" y="0"/>
              </a:cubicBezTo>
              <a:cubicBezTo>
                <a:pt x="2525309" y="159873"/>
                <a:pt x="2510869" y="174228"/>
                <a:pt x="2514600" y="333375"/>
              </a:cubicBezTo>
              <a:cubicBezTo>
                <a:pt x="2310366" y="374692"/>
                <a:pt x="2251528" y="314234"/>
                <a:pt x="2011680" y="333375"/>
              </a:cubicBezTo>
              <a:cubicBezTo>
                <a:pt x="1771832" y="352516"/>
                <a:pt x="1601277" y="291772"/>
                <a:pt x="1458468" y="333375"/>
              </a:cubicBezTo>
              <a:cubicBezTo>
                <a:pt x="1315659" y="374978"/>
                <a:pt x="1118383" y="305730"/>
                <a:pt x="1030986" y="333375"/>
              </a:cubicBezTo>
              <a:cubicBezTo>
                <a:pt x="943589" y="361020"/>
                <a:pt x="736501" y="316350"/>
                <a:pt x="528066" y="333375"/>
              </a:cubicBezTo>
              <a:cubicBezTo>
                <a:pt x="319631" y="350400"/>
                <a:pt x="244285" y="299899"/>
                <a:pt x="0" y="333375"/>
              </a:cubicBezTo>
              <a:cubicBezTo>
                <a:pt x="-31847" y="189626"/>
                <a:pt x="600" y="10524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1</xdr:colOff>
      <xdr:row>0</xdr:row>
      <xdr:rowOff>45983</xdr:rowOff>
    </xdr:from>
    <xdr:to>
      <xdr:col>25</xdr:col>
      <xdr:colOff>177363</xdr:colOff>
      <xdr:row>0</xdr:row>
      <xdr:rowOff>379358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EF89067-1894-4B5E-8CFC-9D6BBF07BE21}"/>
            </a:ext>
          </a:extLst>
        </xdr:cNvPr>
        <xdr:cNvSpPr/>
      </xdr:nvSpPr>
      <xdr:spPr>
        <a:xfrm>
          <a:off x="5478518" y="45983"/>
          <a:ext cx="367862" cy="333375"/>
        </a:xfrm>
        <a:custGeom>
          <a:avLst/>
          <a:gdLst>
            <a:gd name="connsiteX0" fmla="*/ 0 w 367862"/>
            <a:gd name="connsiteY0" fmla="*/ 0 h 333375"/>
            <a:gd name="connsiteX1" fmla="*/ 367862 w 367862"/>
            <a:gd name="connsiteY1" fmla="*/ 0 h 333375"/>
            <a:gd name="connsiteX2" fmla="*/ 367862 w 367862"/>
            <a:gd name="connsiteY2" fmla="*/ 333375 h 333375"/>
            <a:gd name="connsiteX3" fmla="*/ 0 w 367862"/>
            <a:gd name="connsiteY3" fmla="*/ 333375 h 333375"/>
            <a:gd name="connsiteX4" fmla="*/ 0 w 367862"/>
            <a:gd name="connsiteY4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67862" h="333375" extrusionOk="0">
              <a:moveTo>
                <a:pt x="0" y="0"/>
              </a:moveTo>
              <a:cubicBezTo>
                <a:pt x="96580" y="-24340"/>
                <a:pt x="216769" y="35866"/>
                <a:pt x="367862" y="0"/>
              </a:cubicBezTo>
              <a:cubicBezTo>
                <a:pt x="386028" y="98164"/>
                <a:pt x="363777" y="213736"/>
                <a:pt x="367862" y="333375"/>
              </a:cubicBezTo>
              <a:cubicBezTo>
                <a:pt x="236302" y="371617"/>
                <a:pt x="88640" y="326965"/>
                <a:pt x="0" y="333375"/>
              </a:cubicBezTo>
              <a:cubicBezTo>
                <a:pt x="-36598" y="207430"/>
                <a:pt x="29296" y="7349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0</xdr:row>
          <xdr:rowOff>38100</xdr:rowOff>
        </xdr:from>
        <xdr:to>
          <xdr:col>37</xdr:col>
          <xdr:colOff>504825</xdr:colOff>
          <xdr:row>0</xdr:row>
          <xdr:rowOff>361950</xdr:rowOff>
        </xdr:to>
        <xdr:sp macro="" textlink="">
          <xdr:nvSpPr>
            <xdr:cNvPr id="58399" name="CetakRapor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4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38100</xdr:rowOff>
        </xdr:from>
        <xdr:to>
          <xdr:col>10</xdr:col>
          <xdr:colOff>66675</xdr:colOff>
          <xdr:row>0</xdr:row>
          <xdr:rowOff>371475</xdr:rowOff>
        </xdr:to>
        <xdr:sp macro="" textlink="">
          <xdr:nvSpPr>
            <xdr:cNvPr id="57349" name="CommandButton2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5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0</xdr:row>
          <xdr:rowOff>38100</xdr:rowOff>
        </xdr:from>
        <xdr:to>
          <xdr:col>35</xdr:col>
          <xdr:colOff>57150</xdr:colOff>
          <xdr:row>0</xdr:row>
          <xdr:rowOff>361950</xdr:rowOff>
        </xdr:to>
        <xdr:sp macro="" textlink="">
          <xdr:nvSpPr>
            <xdr:cNvPr id="57350" name="SpinButton1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5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152401</xdr:colOff>
      <xdr:row>0</xdr:row>
      <xdr:rowOff>47625</xdr:rowOff>
    </xdr:from>
    <xdr:to>
      <xdr:col>24</xdr:col>
      <xdr:colOff>1</xdr:colOff>
      <xdr:row>0</xdr:row>
      <xdr:rowOff>381000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B21D85B-82FB-4F49-B5FF-0FD5F9981401}"/>
            </a:ext>
          </a:extLst>
        </xdr:cNvPr>
        <xdr:cNvSpPr/>
      </xdr:nvSpPr>
      <xdr:spPr>
        <a:xfrm>
          <a:off x="2962276" y="47625"/>
          <a:ext cx="2514600" cy="333375"/>
        </a:xfrm>
        <a:custGeom>
          <a:avLst/>
          <a:gdLst>
            <a:gd name="connsiteX0" fmla="*/ 0 w 2514600"/>
            <a:gd name="connsiteY0" fmla="*/ 0 h 333375"/>
            <a:gd name="connsiteX1" fmla="*/ 477774 w 2514600"/>
            <a:gd name="connsiteY1" fmla="*/ 0 h 333375"/>
            <a:gd name="connsiteX2" fmla="*/ 905256 w 2514600"/>
            <a:gd name="connsiteY2" fmla="*/ 0 h 333375"/>
            <a:gd name="connsiteX3" fmla="*/ 1458468 w 2514600"/>
            <a:gd name="connsiteY3" fmla="*/ 0 h 333375"/>
            <a:gd name="connsiteX4" fmla="*/ 1936242 w 2514600"/>
            <a:gd name="connsiteY4" fmla="*/ 0 h 333375"/>
            <a:gd name="connsiteX5" fmla="*/ 2514600 w 2514600"/>
            <a:gd name="connsiteY5" fmla="*/ 0 h 333375"/>
            <a:gd name="connsiteX6" fmla="*/ 2514600 w 2514600"/>
            <a:gd name="connsiteY6" fmla="*/ 333375 h 333375"/>
            <a:gd name="connsiteX7" fmla="*/ 2011680 w 2514600"/>
            <a:gd name="connsiteY7" fmla="*/ 333375 h 333375"/>
            <a:gd name="connsiteX8" fmla="*/ 1458468 w 2514600"/>
            <a:gd name="connsiteY8" fmla="*/ 333375 h 333375"/>
            <a:gd name="connsiteX9" fmla="*/ 1030986 w 2514600"/>
            <a:gd name="connsiteY9" fmla="*/ 333375 h 333375"/>
            <a:gd name="connsiteX10" fmla="*/ 528066 w 2514600"/>
            <a:gd name="connsiteY10" fmla="*/ 333375 h 333375"/>
            <a:gd name="connsiteX11" fmla="*/ 0 w 2514600"/>
            <a:gd name="connsiteY11" fmla="*/ 333375 h 333375"/>
            <a:gd name="connsiteX12" fmla="*/ 0 w 2514600"/>
            <a:gd name="connsiteY12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2514600" h="333375" extrusionOk="0">
              <a:moveTo>
                <a:pt x="0" y="0"/>
              </a:moveTo>
              <a:cubicBezTo>
                <a:pt x="128694" y="-32453"/>
                <a:pt x="353071" y="34594"/>
                <a:pt x="477774" y="0"/>
              </a:cubicBezTo>
              <a:cubicBezTo>
                <a:pt x="602477" y="-34594"/>
                <a:pt x="801373" y="42413"/>
                <a:pt x="905256" y="0"/>
              </a:cubicBezTo>
              <a:cubicBezTo>
                <a:pt x="1009139" y="-42413"/>
                <a:pt x="1205756" y="9019"/>
                <a:pt x="1458468" y="0"/>
              </a:cubicBezTo>
              <a:cubicBezTo>
                <a:pt x="1711180" y="-9019"/>
                <a:pt x="1755025" y="25897"/>
                <a:pt x="1936242" y="0"/>
              </a:cubicBezTo>
              <a:cubicBezTo>
                <a:pt x="2117459" y="-25897"/>
                <a:pt x="2332499" y="64965"/>
                <a:pt x="2514600" y="0"/>
              </a:cubicBezTo>
              <a:cubicBezTo>
                <a:pt x="2525309" y="159873"/>
                <a:pt x="2510869" y="174228"/>
                <a:pt x="2514600" y="333375"/>
              </a:cubicBezTo>
              <a:cubicBezTo>
                <a:pt x="2310366" y="374692"/>
                <a:pt x="2251528" y="314234"/>
                <a:pt x="2011680" y="333375"/>
              </a:cubicBezTo>
              <a:cubicBezTo>
                <a:pt x="1771832" y="352516"/>
                <a:pt x="1601277" y="291772"/>
                <a:pt x="1458468" y="333375"/>
              </a:cubicBezTo>
              <a:cubicBezTo>
                <a:pt x="1315659" y="374978"/>
                <a:pt x="1118383" y="305730"/>
                <a:pt x="1030986" y="333375"/>
              </a:cubicBezTo>
              <a:cubicBezTo>
                <a:pt x="943589" y="361020"/>
                <a:pt x="736501" y="316350"/>
                <a:pt x="528066" y="333375"/>
              </a:cubicBezTo>
              <a:cubicBezTo>
                <a:pt x="319631" y="350400"/>
                <a:pt x="244285" y="299899"/>
                <a:pt x="0" y="333375"/>
              </a:cubicBezTo>
              <a:cubicBezTo>
                <a:pt x="-31847" y="189626"/>
                <a:pt x="600" y="10524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1</xdr:colOff>
      <xdr:row>0</xdr:row>
      <xdr:rowOff>45983</xdr:rowOff>
    </xdr:from>
    <xdr:to>
      <xdr:col>25</xdr:col>
      <xdr:colOff>177363</xdr:colOff>
      <xdr:row>0</xdr:row>
      <xdr:rowOff>379358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273BCD9-64C0-4B2D-8D70-A070AC17AAB3}"/>
            </a:ext>
          </a:extLst>
        </xdr:cNvPr>
        <xdr:cNvSpPr/>
      </xdr:nvSpPr>
      <xdr:spPr>
        <a:xfrm>
          <a:off x="5476876" y="45983"/>
          <a:ext cx="367862" cy="333375"/>
        </a:xfrm>
        <a:custGeom>
          <a:avLst/>
          <a:gdLst>
            <a:gd name="connsiteX0" fmla="*/ 0 w 367862"/>
            <a:gd name="connsiteY0" fmla="*/ 0 h 333375"/>
            <a:gd name="connsiteX1" fmla="*/ 367862 w 367862"/>
            <a:gd name="connsiteY1" fmla="*/ 0 h 333375"/>
            <a:gd name="connsiteX2" fmla="*/ 367862 w 367862"/>
            <a:gd name="connsiteY2" fmla="*/ 333375 h 333375"/>
            <a:gd name="connsiteX3" fmla="*/ 0 w 367862"/>
            <a:gd name="connsiteY3" fmla="*/ 333375 h 333375"/>
            <a:gd name="connsiteX4" fmla="*/ 0 w 367862"/>
            <a:gd name="connsiteY4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67862" h="333375" extrusionOk="0">
              <a:moveTo>
                <a:pt x="0" y="0"/>
              </a:moveTo>
              <a:cubicBezTo>
                <a:pt x="96580" y="-24340"/>
                <a:pt x="216769" y="35866"/>
                <a:pt x="367862" y="0"/>
              </a:cubicBezTo>
              <a:cubicBezTo>
                <a:pt x="386028" y="98164"/>
                <a:pt x="363777" y="213736"/>
                <a:pt x="367862" y="333375"/>
              </a:cubicBezTo>
              <a:cubicBezTo>
                <a:pt x="236302" y="371617"/>
                <a:pt x="88640" y="326965"/>
                <a:pt x="0" y="333375"/>
              </a:cubicBezTo>
              <a:cubicBezTo>
                <a:pt x="-36598" y="207430"/>
                <a:pt x="29296" y="7349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oneCell">
    <xdr:from>
      <xdr:col>13</xdr:col>
      <xdr:colOff>172693</xdr:colOff>
      <xdr:row>4</xdr:row>
      <xdr:rowOff>43898</xdr:rowOff>
    </xdr:from>
    <xdr:to>
      <xdr:col>22</xdr:col>
      <xdr:colOff>114193</xdr:colOff>
      <xdr:row>13</xdr:row>
      <xdr:rowOff>102321</xdr:rowOff>
    </xdr:to>
    <xdr:pic>
      <xdr:nvPicPr>
        <xdr:cNvPr id="16" name="Picture 15" descr="http://1.bp.blogspot.com/-WjlRZ1iDXyA/U3oC_NXWKDI/AAAAAAABCJs/YQ3zyAY5yvU/s1600/Tut-Wuri-Handayani_Oke.png">
          <a:extLst>
            <a:ext uri="{FF2B5EF4-FFF2-40B4-BE49-F238E27FC236}">
              <a16:creationId xmlns:a16="http://schemas.microsoft.com/office/drawing/2014/main" id="{D473E275-4A25-4C8F-A5E1-8201361A709F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1997" y="1054376"/>
          <a:ext cx="1656000" cy="192201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0</xdr:row>
          <xdr:rowOff>66675</xdr:rowOff>
        </xdr:from>
        <xdr:to>
          <xdr:col>37</xdr:col>
          <xdr:colOff>552450</xdr:colOff>
          <xdr:row>0</xdr:row>
          <xdr:rowOff>390525</xdr:rowOff>
        </xdr:to>
        <xdr:sp macro="" textlink="">
          <xdr:nvSpPr>
            <xdr:cNvPr id="57351" name="CommandButton1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5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819150</xdr:colOff>
          <xdr:row>0</xdr:row>
          <xdr:rowOff>838200</xdr:rowOff>
        </xdr:to>
        <xdr:sp macro="" textlink="">
          <xdr:nvSpPr>
            <xdr:cNvPr id="55298" name="CommandButton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6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47625</xdr:rowOff>
        </xdr:from>
        <xdr:to>
          <xdr:col>2</xdr:col>
          <xdr:colOff>95250</xdr:colOff>
          <xdr:row>0</xdr:row>
          <xdr:rowOff>285750</xdr:rowOff>
        </xdr:to>
        <xdr:sp macro="" textlink="">
          <xdr:nvSpPr>
            <xdr:cNvPr id="55300" name="SeniMusik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6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323850</xdr:rowOff>
        </xdr:from>
        <xdr:to>
          <xdr:col>2</xdr:col>
          <xdr:colOff>95250</xdr:colOff>
          <xdr:row>0</xdr:row>
          <xdr:rowOff>571500</xdr:rowOff>
        </xdr:to>
        <xdr:sp macro="" textlink="">
          <xdr:nvSpPr>
            <xdr:cNvPr id="55301" name="SeniTari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6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600075</xdr:rowOff>
        </xdr:from>
        <xdr:to>
          <xdr:col>2</xdr:col>
          <xdr:colOff>104775</xdr:colOff>
          <xdr:row>0</xdr:row>
          <xdr:rowOff>838200</xdr:rowOff>
        </xdr:to>
        <xdr:sp macro="" textlink="">
          <xdr:nvSpPr>
            <xdr:cNvPr id="55302" name="SeniRupa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6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3</xdr:col>
          <xdr:colOff>457200</xdr:colOff>
          <xdr:row>0</xdr:row>
          <xdr:rowOff>285750</xdr:rowOff>
        </xdr:to>
        <xdr:sp macro="" textlink="">
          <xdr:nvSpPr>
            <xdr:cNvPr id="55303" name="SeniTeater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6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323850</xdr:rowOff>
        </xdr:from>
        <xdr:to>
          <xdr:col>3</xdr:col>
          <xdr:colOff>447675</xdr:colOff>
          <xdr:row>0</xdr:row>
          <xdr:rowOff>571500</xdr:rowOff>
        </xdr:to>
        <xdr:sp macro="" textlink="">
          <xdr:nvSpPr>
            <xdr:cNvPr id="55306" name="Mulok1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6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600075</xdr:rowOff>
        </xdr:from>
        <xdr:to>
          <xdr:col>3</xdr:col>
          <xdr:colOff>447675</xdr:colOff>
          <xdr:row>0</xdr:row>
          <xdr:rowOff>847725</xdr:rowOff>
        </xdr:to>
        <xdr:sp macro="" textlink="">
          <xdr:nvSpPr>
            <xdr:cNvPr id="55307" name="Mulok2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6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47625</xdr:rowOff>
        </xdr:from>
        <xdr:to>
          <xdr:col>5</xdr:col>
          <xdr:colOff>200025</xdr:colOff>
          <xdr:row>0</xdr:row>
          <xdr:rowOff>285750</xdr:rowOff>
        </xdr:to>
        <xdr:sp macro="" textlink="">
          <xdr:nvSpPr>
            <xdr:cNvPr id="55308" name="Mulok3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6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323850</xdr:rowOff>
        </xdr:from>
        <xdr:to>
          <xdr:col>5</xdr:col>
          <xdr:colOff>200025</xdr:colOff>
          <xdr:row>0</xdr:row>
          <xdr:rowOff>561975</xdr:rowOff>
        </xdr:to>
        <xdr:sp macro="" textlink="">
          <xdr:nvSpPr>
            <xdr:cNvPr id="55309" name="Mulok4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6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600075</xdr:rowOff>
        </xdr:from>
        <xdr:to>
          <xdr:col>5</xdr:col>
          <xdr:colOff>190500</xdr:colOff>
          <xdr:row>0</xdr:row>
          <xdr:rowOff>847725</xdr:rowOff>
        </xdr:to>
        <xdr:sp macro="" textlink="">
          <xdr:nvSpPr>
            <xdr:cNvPr id="55310" name="Mulok5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6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0</xdr:row>
          <xdr:rowOff>47625</xdr:rowOff>
        </xdr:from>
        <xdr:to>
          <xdr:col>20</xdr:col>
          <xdr:colOff>581025</xdr:colOff>
          <xdr:row>0</xdr:row>
          <xdr:rowOff>838200</xdr:rowOff>
        </xdr:to>
        <xdr:sp macro="" textlink="">
          <xdr:nvSpPr>
            <xdr:cNvPr id="55311" name="CommandButton2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6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19050</xdr:rowOff>
        </xdr:from>
        <xdr:to>
          <xdr:col>3</xdr:col>
          <xdr:colOff>990600</xdr:colOff>
          <xdr:row>9</xdr:row>
          <xdr:rowOff>238125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Musik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9</xdr:row>
          <xdr:rowOff>19050</xdr:rowOff>
        </xdr:from>
        <xdr:to>
          <xdr:col>3</xdr:col>
          <xdr:colOff>1752600</xdr:colOff>
          <xdr:row>9</xdr:row>
          <xdr:rowOff>238125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Tari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1609725</xdr:colOff>
          <xdr:row>9</xdr:row>
          <xdr:rowOff>19050</xdr:rowOff>
        </xdr:from>
        <xdr:to>
          <xdr:col>3</xdr:col>
          <xdr:colOff>2400300</xdr:colOff>
          <xdr:row>9</xdr:row>
          <xdr:rowOff>238125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Rupa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2333625</xdr:colOff>
          <xdr:row>9</xdr:row>
          <xdr:rowOff>19050</xdr:rowOff>
        </xdr:from>
        <xdr:to>
          <xdr:col>3</xdr:col>
          <xdr:colOff>3124200</xdr:colOff>
          <xdr:row>9</xdr:row>
          <xdr:rowOff>238125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Teater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16</xdr:row>
          <xdr:rowOff>19050</xdr:rowOff>
        </xdr:from>
        <xdr:to>
          <xdr:col>3</xdr:col>
          <xdr:colOff>857250</xdr:colOff>
          <xdr:row>16</xdr:row>
          <xdr:rowOff>219075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47625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6150" name="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</xdr:row>
          <xdr:rowOff>28575</xdr:rowOff>
        </xdr:from>
        <xdr:to>
          <xdr:col>3</xdr:col>
          <xdr:colOff>266700</xdr:colOff>
          <xdr:row>3</xdr:row>
          <xdr:rowOff>247650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495301</xdr:colOff>
      <xdr:row>3</xdr:row>
      <xdr:rowOff>344260</xdr:rowOff>
    </xdr:from>
    <xdr:to>
      <xdr:col>3</xdr:col>
      <xdr:colOff>95251</xdr:colOff>
      <xdr:row>5</xdr:row>
      <xdr:rowOff>3098</xdr:rowOff>
    </xdr:to>
    <xdr:sp macro="" textlink="$F$3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3BFE2F-1EED-4E8A-BD6B-C8D5926FC8EB}"/>
            </a:ext>
          </a:extLst>
        </xdr:cNvPr>
        <xdr:cNvSpPr/>
      </xdr:nvSpPr>
      <xdr:spPr>
        <a:xfrm>
          <a:off x="495301" y="1011010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FFE75899-2A94-435D-944B-D51689E530FB}" type="TxLink">
            <a:rPr lang="en-US" sz="700" b="1" i="0" u="none" strike="noStrike">
              <a:solidFill>
                <a:sysClr val="windowText" lastClr="000000"/>
              </a:solidFill>
              <a:latin typeface="Times New Roman"/>
              <a:cs typeface="Times New Roman"/>
            </a:rPr>
            <a:pPr algn="ctr"/>
            <a:t>PENDIDIKAN AGAMA DAN BUDI PEKERTI</a:t>
          </a:fld>
          <a:endParaRPr lang="en-US" sz="200" b="1" i="0" u="none" strike="noStrike">
            <a:solidFill>
              <a:sysClr val="windowText" lastClr="000000"/>
            </a:solidFill>
            <a:latin typeface="+mn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566755</xdr:colOff>
      <xdr:row>10</xdr:row>
      <xdr:rowOff>48296</xdr:rowOff>
    </xdr:from>
    <xdr:to>
      <xdr:col>1</xdr:col>
      <xdr:colOff>576280</xdr:colOff>
      <xdr:row>11</xdr:row>
      <xdr:rowOff>309890</xdr:rowOff>
    </xdr:to>
    <xdr:sp macro="" textlink="$Z$3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0238443-0868-47EC-A6B1-724E40AFECA5}"/>
            </a:ext>
          </a:extLst>
        </xdr:cNvPr>
        <xdr:cNvSpPr/>
      </xdr:nvSpPr>
      <xdr:spPr>
        <a:xfrm>
          <a:off x="566755" y="3123510"/>
          <a:ext cx="621846" cy="60177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57C3E6FD-616E-458B-898C-52FC2A799B5E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MUSIK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14305</xdr:colOff>
      <xdr:row>10</xdr:row>
      <xdr:rowOff>48296</xdr:rowOff>
    </xdr:from>
    <xdr:to>
      <xdr:col>3</xdr:col>
      <xdr:colOff>23830</xdr:colOff>
      <xdr:row>11</xdr:row>
      <xdr:rowOff>309890</xdr:rowOff>
    </xdr:to>
    <xdr:sp macro="" textlink="$AD$3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3F2AE8-EF38-49FA-836C-546F2A129800}"/>
            </a:ext>
          </a:extLst>
        </xdr:cNvPr>
        <xdr:cNvSpPr/>
      </xdr:nvSpPr>
      <xdr:spPr>
        <a:xfrm>
          <a:off x="1238948" y="3123510"/>
          <a:ext cx="621846" cy="60177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CBF0C073-48FF-4F1D-A21F-B5A94D074CB6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TARI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566755</xdr:colOff>
      <xdr:row>12</xdr:row>
      <xdr:rowOff>29240</xdr:rowOff>
    </xdr:from>
    <xdr:to>
      <xdr:col>1</xdr:col>
      <xdr:colOff>576280</xdr:colOff>
      <xdr:row>13</xdr:row>
      <xdr:rowOff>290833</xdr:rowOff>
    </xdr:to>
    <xdr:sp macro="" textlink="$AH$3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082FCC-A1CC-472D-B6A1-969529CDDAFD}"/>
            </a:ext>
          </a:extLst>
        </xdr:cNvPr>
        <xdr:cNvSpPr/>
      </xdr:nvSpPr>
      <xdr:spPr>
        <a:xfrm>
          <a:off x="566755" y="3784811"/>
          <a:ext cx="621846" cy="6017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9381CC60-EBCC-49E0-B6F0-49402298676A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SENI RUPA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14305</xdr:colOff>
      <xdr:row>12</xdr:row>
      <xdr:rowOff>29240</xdr:rowOff>
    </xdr:from>
    <xdr:to>
      <xdr:col>3</xdr:col>
      <xdr:colOff>23830</xdr:colOff>
      <xdr:row>13</xdr:row>
      <xdr:rowOff>290833</xdr:rowOff>
    </xdr:to>
    <xdr:sp macro="" textlink="$AL$3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354D70-5183-49C9-A8F1-44F7D4CE82F3}"/>
            </a:ext>
          </a:extLst>
        </xdr:cNvPr>
        <xdr:cNvSpPr/>
      </xdr:nvSpPr>
      <xdr:spPr>
        <a:xfrm>
          <a:off x="1238948" y="3784811"/>
          <a:ext cx="621846" cy="6017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D494C016-997B-4207-963B-06916D46FAB5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TEATER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495316</xdr:colOff>
      <xdr:row>5</xdr:row>
      <xdr:rowOff>50721</xdr:rowOff>
    </xdr:from>
    <xdr:to>
      <xdr:col>3</xdr:col>
      <xdr:colOff>95266</xdr:colOff>
      <xdr:row>6</xdr:row>
      <xdr:rowOff>76951</xdr:rowOff>
    </xdr:to>
    <xdr:sp macro="" textlink="$J$3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E62996D-C365-4EBE-A1BA-D1AADCF9582C}"/>
            </a:ext>
          </a:extLst>
        </xdr:cNvPr>
        <xdr:cNvSpPr/>
      </xdr:nvSpPr>
      <xdr:spPr>
        <a:xfrm>
          <a:off x="495316" y="1425042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026F6575-0BDE-4F52-ABC1-6FE55D0CB306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PENDIDIKAN PANCASILA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6</xdr:row>
      <xdr:rowOff>124541</xdr:rowOff>
    </xdr:from>
    <xdr:to>
      <xdr:col>3</xdr:col>
      <xdr:colOff>95251</xdr:colOff>
      <xdr:row>7</xdr:row>
      <xdr:rowOff>150769</xdr:rowOff>
    </xdr:to>
    <xdr:sp macro="" textlink="$N$3">
      <xdr:nvSpPr>
        <xdr:cNvPr id="9" name="Rectangl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02A80D4-9105-427A-A3B9-563D513B9DD5}"/>
            </a:ext>
          </a:extLst>
        </xdr:cNvPr>
        <xdr:cNvSpPr/>
      </xdr:nvSpPr>
      <xdr:spPr>
        <a:xfrm>
          <a:off x="495301" y="1839041"/>
          <a:ext cx="1436914" cy="36640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B3CEA094-E8F9-4373-85E4-5E2B34C21048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INDONESIA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495300</xdr:colOff>
      <xdr:row>7</xdr:row>
      <xdr:rowOff>198358</xdr:rowOff>
    </xdr:from>
    <xdr:to>
      <xdr:col>3</xdr:col>
      <xdr:colOff>95250</xdr:colOff>
      <xdr:row>8</xdr:row>
      <xdr:rowOff>224590</xdr:rowOff>
    </xdr:to>
    <xdr:sp macro="" textlink="$R$3">
      <xdr:nvSpPr>
        <xdr:cNvPr id="10" name="Rectangl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290075-97FE-42C6-8AE4-A48898B88126}"/>
            </a:ext>
          </a:extLst>
        </xdr:cNvPr>
        <xdr:cNvSpPr/>
      </xdr:nvSpPr>
      <xdr:spPr>
        <a:xfrm>
          <a:off x="495300" y="2253037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94B023D-F8F9-40FC-A0F0-678EA0B270FB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MATEMATIKA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495302</xdr:colOff>
      <xdr:row>14</xdr:row>
      <xdr:rowOff>10239</xdr:rowOff>
    </xdr:from>
    <xdr:to>
      <xdr:col>3</xdr:col>
      <xdr:colOff>95252</xdr:colOff>
      <xdr:row>15</xdr:row>
      <xdr:rowOff>36471</xdr:rowOff>
    </xdr:to>
    <xdr:sp macro="" textlink="$AP$3">
      <xdr:nvSpPr>
        <xdr:cNvPr id="11" name="Rectangl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6BE543-86AF-47D5-92F7-5FB612D2B9F8}"/>
            </a:ext>
          </a:extLst>
        </xdr:cNvPr>
        <xdr:cNvSpPr/>
      </xdr:nvSpPr>
      <xdr:spPr>
        <a:xfrm>
          <a:off x="495302" y="4446168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F88B9E1-D912-4199-9559-D70584A2B0FF}" type="TxLink">
            <a:rPr lang="en-US" sz="6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PENDIDIKAN JASMANI, OLAHRAGA, DAN KESEHATAN</a:t>
          </a:fld>
          <a:endParaRPr lang="en-US" sz="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16</xdr:row>
      <xdr:rowOff>157869</xdr:rowOff>
    </xdr:from>
    <xdr:to>
      <xdr:col>3</xdr:col>
      <xdr:colOff>95251</xdr:colOff>
      <xdr:row>17</xdr:row>
      <xdr:rowOff>184100</xdr:rowOff>
    </xdr:to>
    <xdr:sp macro="" textlink="$AX$3">
      <xdr:nvSpPr>
        <xdr:cNvPr id="12" name="Rectangle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C16A8E-7AE2-4E84-ADA1-48A2A8D430ED}"/>
            </a:ext>
          </a:extLst>
        </xdr:cNvPr>
        <xdr:cNvSpPr/>
      </xdr:nvSpPr>
      <xdr:spPr>
        <a:xfrm>
          <a:off x="495301" y="5274155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CC1BC3C-9672-489E-A0C3-FDBB14403A60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SUNDA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17</xdr:row>
      <xdr:rowOff>231688</xdr:rowOff>
    </xdr:from>
    <xdr:to>
      <xdr:col>3</xdr:col>
      <xdr:colOff>95251</xdr:colOff>
      <xdr:row>18</xdr:row>
      <xdr:rowOff>255195</xdr:rowOff>
    </xdr:to>
    <xdr:sp macro="" textlink="$BB$3">
      <xdr:nvSpPr>
        <xdr:cNvPr id="13" name="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5B1CE8A-26ED-4E43-8F42-C93EBEF93FF1}"/>
            </a:ext>
          </a:extLst>
        </xdr:cNvPr>
        <xdr:cNvSpPr/>
      </xdr:nvSpPr>
      <xdr:spPr>
        <a:xfrm>
          <a:off x="495301" y="5688152"/>
          <a:ext cx="1436914" cy="36368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0957B471-A58B-4863-A558-B9484CC60DD9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JEPANG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18</xdr:row>
      <xdr:rowOff>302790</xdr:rowOff>
    </xdr:from>
    <xdr:to>
      <xdr:col>3</xdr:col>
      <xdr:colOff>95258</xdr:colOff>
      <xdr:row>19</xdr:row>
      <xdr:rowOff>329022</xdr:rowOff>
    </xdr:to>
    <xdr:sp macro="" textlink="$BF$3">
      <xdr:nvSpPr>
        <xdr:cNvPr id="14" name="Rectangle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CCBB67F-A878-4E64-81AE-F0EE5B6C56BA}"/>
            </a:ext>
          </a:extLst>
        </xdr:cNvPr>
        <xdr:cNvSpPr/>
      </xdr:nvSpPr>
      <xdr:spPr>
        <a:xfrm>
          <a:off x="495308" y="6099433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E57E3A4-40D4-45FC-8AB9-CCD4FC797C8A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BAHASA JERMAN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20</xdr:row>
      <xdr:rowOff>36425</xdr:rowOff>
    </xdr:from>
    <xdr:to>
      <xdr:col>3</xdr:col>
      <xdr:colOff>95251</xdr:colOff>
      <xdr:row>21</xdr:row>
      <xdr:rowOff>62654</xdr:rowOff>
    </xdr:to>
    <xdr:sp macro="" textlink="$BJ$3">
      <xdr:nvSpPr>
        <xdr:cNvPr id="15" name="Rectangle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AAC6853-DE33-475C-9070-4EEC1930A84C}"/>
            </a:ext>
          </a:extLst>
        </xdr:cNvPr>
        <xdr:cNvSpPr/>
      </xdr:nvSpPr>
      <xdr:spPr>
        <a:xfrm>
          <a:off x="495301" y="6513425"/>
          <a:ext cx="1436914" cy="36640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67545A8-430B-4EE8-B3DE-3E41B6C5C5ED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MANDARIN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15</xdr:row>
      <xdr:rowOff>84056</xdr:rowOff>
    </xdr:from>
    <xdr:to>
      <xdr:col>3</xdr:col>
      <xdr:colOff>95258</xdr:colOff>
      <xdr:row>16</xdr:row>
      <xdr:rowOff>110285</xdr:rowOff>
    </xdr:to>
    <xdr:sp macro="" textlink="$AT$3">
      <xdr:nvSpPr>
        <xdr:cNvPr id="16" name="Rectangl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7F8E17C-F2F7-4710-8653-E512305C6E3E}"/>
            </a:ext>
          </a:extLst>
        </xdr:cNvPr>
        <xdr:cNvSpPr/>
      </xdr:nvSpPr>
      <xdr:spPr>
        <a:xfrm>
          <a:off x="495308" y="4860163"/>
          <a:ext cx="1436914" cy="36640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C913B451-440E-4D01-8509-F8C9ECDB2F7F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BAHASA INGGRIS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21</xdr:row>
      <xdr:rowOff>110258</xdr:rowOff>
    </xdr:from>
    <xdr:to>
      <xdr:col>3</xdr:col>
      <xdr:colOff>95258</xdr:colOff>
      <xdr:row>22</xdr:row>
      <xdr:rowOff>136489</xdr:rowOff>
    </xdr:to>
    <xdr:sp macro="" textlink="$BN$3">
      <xdr:nvSpPr>
        <xdr:cNvPr id="17" name="Rectangle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B8433F2-87BD-4480-815D-E4ACFD4D342A}"/>
            </a:ext>
          </a:extLst>
        </xdr:cNvPr>
        <xdr:cNvSpPr/>
      </xdr:nvSpPr>
      <xdr:spPr>
        <a:xfrm>
          <a:off x="495308" y="6927437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B7D8760B-EC27-456D-8EE0-75AA6AB191E8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KOREA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495300</xdr:colOff>
      <xdr:row>8</xdr:row>
      <xdr:rowOff>307521</xdr:rowOff>
    </xdr:from>
    <xdr:to>
      <xdr:col>3</xdr:col>
      <xdr:colOff>95250</xdr:colOff>
      <xdr:row>9</xdr:row>
      <xdr:rowOff>333751</xdr:rowOff>
    </xdr:to>
    <xdr:sp macro="" textlink="$V$3">
      <xdr:nvSpPr>
        <xdr:cNvPr id="19" name="Rectangle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1376E5-A802-43B5-ACEF-709DB548A00C}"/>
            </a:ext>
          </a:extLst>
        </xdr:cNvPr>
        <xdr:cNvSpPr/>
      </xdr:nvSpPr>
      <xdr:spPr>
        <a:xfrm>
          <a:off x="495300" y="2702378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557145C-C748-48A1-AF36-F5ACA5665353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ILMU PENGETAHUAN ALAM DAN SOSIAL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1</xdr:col>
          <xdr:colOff>1743075</xdr:colOff>
          <xdr:row>4</xdr:row>
          <xdr:rowOff>133350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9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D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E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F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9153" name="CommandButton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152400</xdr:rowOff>
        </xdr:from>
        <xdr:to>
          <xdr:col>1</xdr:col>
          <xdr:colOff>1790700</xdr:colOff>
          <xdr:row>4</xdr:row>
          <xdr:rowOff>66675</xdr:rowOff>
        </xdr:to>
        <xdr:sp macro="" textlink="">
          <xdr:nvSpPr>
            <xdr:cNvPr id="51201" name="CommandButton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171450</xdr:rowOff>
        </xdr:from>
        <xdr:to>
          <xdr:col>1</xdr:col>
          <xdr:colOff>1790700</xdr:colOff>
          <xdr:row>5</xdr:row>
          <xdr:rowOff>85725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A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76200</xdr:rowOff>
        </xdr:from>
        <xdr:to>
          <xdr:col>1</xdr:col>
          <xdr:colOff>1762125</xdr:colOff>
          <xdr:row>4</xdr:row>
          <xdr:rowOff>180975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171450</xdr:rowOff>
        </xdr:from>
        <xdr:to>
          <xdr:col>2</xdr:col>
          <xdr:colOff>47625</xdr:colOff>
          <xdr:row>5</xdr:row>
          <xdr:rowOff>85725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5" Type="http://schemas.openxmlformats.org/officeDocument/2006/relationships/image" Target="../media/image8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0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24.emf"/><Relationship Id="rId7" Type="http://schemas.openxmlformats.org/officeDocument/2006/relationships/image" Target="../media/image17.emf"/><Relationship Id="rId12" Type="http://schemas.openxmlformats.org/officeDocument/2006/relationships/control" Target="../activeX/activeX21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19.emf"/><Relationship Id="rId24" Type="http://schemas.openxmlformats.org/officeDocument/2006/relationships/control" Target="../activeX/activeX27.xml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10" Type="http://schemas.openxmlformats.org/officeDocument/2006/relationships/control" Target="../activeX/activeX20.xml"/><Relationship Id="rId19" Type="http://schemas.openxmlformats.org/officeDocument/2006/relationships/image" Target="../media/image23.emf"/><Relationship Id="rId4" Type="http://schemas.openxmlformats.org/officeDocument/2006/relationships/control" Target="../activeX/activeX17.xml"/><Relationship Id="rId9" Type="http://schemas.openxmlformats.org/officeDocument/2006/relationships/image" Target="../media/image18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ontrol" Target="../activeX/activeX28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27.emf"/><Relationship Id="rId9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2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2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29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29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29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image" Target="../media/image2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29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2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image" Target="../media/image2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2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29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image" Target="../media/image29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29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29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image" Target="../media/image29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2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AB140-D88F-4854-92E6-F60A1F10B458}">
  <sheetPr codeName="Sheet1"/>
  <dimension ref="A1:K21"/>
  <sheetViews>
    <sheetView tabSelected="1" zoomScale="145" zoomScaleNormal="145" workbookViewId="0">
      <selection activeCell="B10" sqref="B10"/>
    </sheetView>
  </sheetViews>
  <sheetFormatPr defaultColWidth="0" defaultRowHeight="15" zeroHeight="1" x14ac:dyDescent="0.25"/>
  <cols>
    <col min="1" max="1" width="5.5703125" style="1" customWidth="1"/>
    <col min="2" max="2" width="22.7109375" style="1" customWidth="1"/>
    <col min="3" max="3" width="1.85546875" style="1" customWidth="1"/>
    <col min="4" max="4" width="20.42578125" style="1" customWidth="1"/>
    <col min="5" max="5" width="21.42578125" style="1" customWidth="1"/>
    <col min="6" max="6" width="1.7109375" style="1" customWidth="1"/>
    <col min="7" max="7" width="14.7109375" style="1" customWidth="1"/>
    <col min="8" max="8" width="12.85546875" style="1" customWidth="1"/>
    <col min="9" max="9" width="5.140625" style="1" customWidth="1"/>
    <col min="10" max="11" width="9.140625" style="1" hidden="1" customWidth="1"/>
    <col min="12" max="16384" width="9.140625" style="1" hidden="1"/>
  </cols>
  <sheetData>
    <row r="1" spans="1:11" ht="15" customHeight="1" x14ac:dyDescent="0.3">
      <c r="A1" s="186" t="s">
        <v>105</v>
      </c>
      <c r="B1" s="186"/>
      <c r="C1" s="186"/>
      <c r="D1" s="186"/>
      <c r="E1" s="186"/>
      <c r="F1" s="186"/>
      <c r="G1" s="186"/>
      <c r="H1" s="186"/>
      <c r="I1" s="186"/>
      <c r="J1" s="3"/>
      <c r="K1" s="3"/>
    </row>
    <row r="2" spans="1:11" ht="15" customHeight="1" x14ac:dyDescent="0.3">
      <c r="A2" s="186"/>
      <c r="B2" s="186"/>
      <c r="C2" s="186"/>
      <c r="D2" s="186"/>
      <c r="E2" s="186"/>
      <c r="F2" s="186"/>
      <c r="G2" s="186"/>
      <c r="H2" s="186"/>
      <c r="I2" s="186"/>
      <c r="J2" s="3"/>
      <c r="K2" s="3"/>
    </row>
    <row r="3" spans="1:11" ht="15" customHeight="1" x14ac:dyDescent="0.3">
      <c r="A3" s="186"/>
      <c r="B3" s="186"/>
      <c r="C3" s="186"/>
      <c r="D3" s="186"/>
      <c r="E3" s="186"/>
      <c r="F3" s="186"/>
      <c r="G3" s="186"/>
      <c r="H3" s="186"/>
      <c r="I3" s="186"/>
      <c r="J3" s="3"/>
      <c r="K3" s="3"/>
    </row>
    <row r="4" spans="1:11" ht="15" customHeight="1" x14ac:dyDescent="0.3">
      <c r="A4" s="186"/>
      <c r="B4" s="186"/>
      <c r="C4" s="186"/>
      <c r="D4" s="186"/>
      <c r="E4" s="186"/>
      <c r="F4" s="186"/>
      <c r="G4" s="186"/>
      <c r="H4" s="186"/>
      <c r="I4" s="186"/>
      <c r="J4" s="3"/>
      <c r="K4" s="3"/>
    </row>
    <row r="5" spans="1:11" ht="18.75" x14ac:dyDescent="0.3">
      <c r="A5" s="187" t="str">
        <f>UPPER('Profil Sekolah'!D6)</f>
        <v>SD NEGERI CICOHAG</v>
      </c>
      <c r="B5" s="187"/>
      <c r="C5" s="187"/>
      <c r="D5" s="187"/>
      <c r="E5" s="187"/>
      <c r="F5" s="187"/>
      <c r="G5" s="187"/>
      <c r="H5" s="187"/>
      <c r="I5" s="187"/>
      <c r="J5" s="4"/>
      <c r="K5" s="4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</row>
    <row r="7" spans="1:11" ht="15.75" thickBot="1" x14ac:dyDescent="0.3">
      <c r="A7" s="7"/>
      <c r="B7" s="7"/>
      <c r="C7" s="7"/>
      <c r="D7" s="7"/>
      <c r="E7" s="7"/>
      <c r="F7" s="7"/>
      <c r="G7" s="7"/>
      <c r="H7" s="7"/>
      <c r="I7" s="7"/>
    </row>
    <row r="8" spans="1:11" x14ac:dyDescent="0.25">
      <c r="A8" s="7"/>
      <c r="B8" s="184" t="s">
        <v>16</v>
      </c>
      <c r="C8" s="7"/>
      <c r="D8" s="188" t="s">
        <v>18</v>
      </c>
      <c r="E8" s="189"/>
      <c r="F8" s="7"/>
      <c r="G8" s="188" t="s">
        <v>19</v>
      </c>
      <c r="H8" s="189"/>
      <c r="I8" s="7"/>
    </row>
    <row r="9" spans="1:11" x14ac:dyDescent="0.25">
      <c r="A9" s="7"/>
      <c r="B9" s="185"/>
      <c r="C9" s="7"/>
      <c r="D9" s="190"/>
      <c r="E9" s="191"/>
      <c r="F9" s="7"/>
      <c r="G9" s="190"/>
      <c r="H9" s="191"/>
      <c r="I9" s="7"/>
    </row>
    <row r="10" spans="1:11" x14ac:dyDescent="0.25">
      <c r="A10" s="7"/>
      <c r="B10" s="46">
        <f>COUNTA('Profil Sekolah'!D5:D28)/24</f>
        <v>1</v>
      </c>
      <c r="C10" s="8"/>
      <c r="D10" s="67">
        <v>0.65432098765432101</v>
      </c>
      <c r="E10" s="66">
        <v>0.66666666666666663</v>
      </c>
      <c r="F10" s="8"/>
      <c r="G10" s="179">
        <v>1</v>
      </c>
      <c r="H10" s="180"/>
      <c r="I10" s="7"/>
    </row>
    <row r="11" spans="1:11" x14ac:dyDescent="0.25">
      <c r="A11" s="7"/>
      <c r="B11" s="44">
        <f>SUBTOTAL(103,'Identitas Siswa'!B8:W67)/('Profil Sekolah'!D22*22)</f>
        <v>0.66666666666666663</v>
      </c>
      <c r="C11" s="8"/>
      <c r="D11" s="67">
        <v>0.34615384615384615</v>
      </c>
      <c r="E11" s="66">
        <v>0.5</v>
      </c>
      <c r="F11" s="8"/>
      <c r="G11" s="179">
        <f>SUBTOTAL(103,'Catatan Guru'!C9:C68)/('Profil Sekolah'!D22)</f>
        <v>1</v>
      </c>
      <c r="H11" s="180"/>
      <c r="I11" s="7"/>
    </row>
    <row r="12" spans="1:11" x14ac:dyDescent="0.25">
      <c r="A12" s="7"/>
      <c r="B12" s="44">
        <f>(SUBTOTAL(103,'MAPEL &amp; BOBOT'!C5:C9)+SUBTOTAL(103,'MAPEL &amp; BOBOT'!D11:D14)+SUBTOTAL(103,'MAPEL &amp; BOBOT'!C15:C16)+SUBTOTAL(103,'MAPEL &amp; BOBOT'!D18:D22))/(SUBTOTAL(103,'MAPEL &amp; BOBOT'!B5:B9)+SUBTOTAL(103,'MAPEL &amp; BOBOT'!C11:C14)+SUBTOTAL(103,'MAPEL &amp; BOBOT'!B15:B16)+SUBTOTAL(103,'MAPEL &amp; BOBOT'!C18:C22))</f>
        <v>1</v>
      </c>
      <c r="C12" s="8"/>
      <c r="D12" s="67">
        <v>0.41176470588235292</v>
      </c>
      <c r="E12" s="66">
        <v>0.5490196078431373</v>
      </c>
      <c r="F12" s="8"/>
      <c r="G12" s="179">
        <f>SUBTOTAL(103,Absensi!C9:E68)/('Profil Sekolah'!D22*3)</f>
        <v>1</v>
      </c>
      <c r="H12" s="180"/>
      <c r="I12" s="7"/>
    </row>
    <row r="13" spans="1:11" ht="15.75" thickBot="1" x14ac:dyDescent="0.3">
      <c r="A13" s="7"/>
      <c r="B13" s="45">
        <v>1</v>
      </c>
      <c r="C13" s="8"/>
      <c r="D13" s="67">
        <v>0.25555555555555554</v>
      </c>
      <c r="E13" s="66">
        <v>0.66666666666666663</v>
      </c>
      <c r="F13" s="8"/>
      <c r="G13" s="181">
        <f>SUBTOTAL(103,NaikTidak!C9:C68)/('Profil Sekolah'!D22)</f>
        <v>1</v>
      </c>
      <c r="H13" s="182"/>
      <c r="I13" s="7"/>
    </row>
    <row r="14" spans="1:11" x14ac:dyDescent="0.25">
      <c r="A14" s="7"/>
      <c r="B14" s="8"/>
      <c r="C14" s="8"/>
      <c r="D14" s="67">
        <v>0.49122807017543857</v>
      </c>
      <c r="E14" s="66">
        <v>0.66666666666666663</v>
      </c>
      <c r="F14" s="8"/>
      <c r="G14" s="8"/>
      <c r="H14" s="8"/>
      <c r="I14" s="7"/>
    </row>
    <row r="15" spans="1:11" x14ac:dyDescent="0.25">
      <c r="A15" s="7"/>
      <c r="B15" s="8"/>
      <c r="C15" s="8"/>
      <c r="D15" s="67">
        <v>0.66666666666666663</v>
      </c>
      <c r="E15" s="66">
        <v>0.66666666666666663</v>
      </c>
      <c r="F15" s="8"/>
      <c r="G15" s="8"/>
      <c r="H15" s="8"/>
      <c r="I15" s="7"/>
    </row>
    <row r="16" spans="1:11" x14ac:dyDescent="0.25">
      <c r="A16" s="7"/>
      <c r="B16" s="8"/>
      <c r="C16" s="8"/>
      <c r="D16" s="67">
        <v>0.35897435897435898</v>
      </c>
      <c r="E16" s="66">
        <v>0.66666666666666663</v>
      </c>
      <c r="F16" s="8"/>
      <c r="G16" s="84"/>
      <c r="H16" s="84"/>
      <c r="I16" s="7"/>
    </row>
    <row r="17" spans="1:9" ht="15.75" thickBot="1" x14ac:dyDescent="0.3">
      <c r="A17" s="7"/>
      <c r="B17" s="8"/>
      <c r="C17" s="8"/>
      <c r="D17" s="68">
        <v>0.46666666666666667</v>
      </c>
      <c r="E17" s="69">
        <v>0.66666666666666663</v>
      </c>
      <c r="F17" s="8"/>
      <c r="G17" s="84"/>
      <c r="H17" s="84"/>
      <c r="I17" s="7"/>
    </row>
    <row r="18" spans="1:9" x14ac:dyDescent="0.25">
      <c r="A18" s="7"/>
      <c r="B18" s="8"/>
      <c r="C18" s="8"/>
      <c r="D18" s="7"/>
      <c r="E18" s="7"/>
      <c r="F18" s="8"/>
      <c r="G18" s="8"/>
      <c r="H18" s="8"/>
      <c r="I18" s="7"/>
    </row>
    <row r="19" spans="1:9" hidden="1" x14ac:dyDescent="0.25">
      <c r="A19" s="7"/>
      <c r="B19" s="9"/>
      <c r="C19" s="9"/>
      <c r="D19" s="9"/>
      <c r="E19" s="9"/>
      <c r="F19" s="9"/>
      <c r="G19" s="9"/>
      <c r="H19" s="9"/>
      <c r="I19" s="7"/>
    </row>
    <row r="20" spans="1:9" hidden="1" x14ac:dyDescent="0.25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5">
      <c r="A21" s="183" t="s">
        <v>440</v>
      </c>
      <c r="B21" s="183"/>
      <c r="C21" s="183"/>
      <c r="D21" s="183"/>
      <c r="E21" s="183"/>
      <c r="F21" s="183"/>
      <c r="G21" s="183"/>
      <c r="H21" s="183"/>
      <c r="I21" s="183"/>
    </row>
  </sheetData>
  <sheetProtection sheet="1" objects="1" scenarios="1"/>
  <mergeCells count="10">
    <mergeCell ref="B8:B9"/>
    <mergeCell ref="A1:I4"/>
    <mergeCell ref="A5:I5"/>
    <mergeCell ref="D8:E9"/>
    <mergeCell ref="G8:H9"/>
    <mergeCell ref="G10:H10"/>
    <mergeCell ref="G11:H11"/>
    <mergeCell ref="G12:H12"/>
    <mergeCell ref="G13:H13"/>
    <mergeCell ref="A21:I21"/>
  </mergeCells>
  <conditionalFormatting sqref="B10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{9574DB6A-68D0-4F95-AE05-D9593696F37D}</x14:id>
        </ext>
      </extLst>
    </cfRule>
  </conditionalFormatting>
  <conditionalFormatting sqref="B11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{5979D6E9-85C4-4897-BF47-F81868D0CBB8}</x14:id>
        </ext>
      </extLst>
    </cfRule>
  </conditionalFormatting>
  <conditionalFormatting sqref="B12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{49DB9615-7E0C-4785-8B71-65B9A742524D}</x14:id>
        </ext>
      </extLst>
    </cfRule>
  </conditionalFormatting>
  <conditionalFormatting sqref="B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{29F977FE-5E9E-4969-A059-D0E97050F114}</x14:id>
        </ext>
      </extLst>
    </cfRule>
  </conditionalFormatting>
  <conditionalFormatting sqref="E10">
    <cfRule type="dataBar" priority="6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{787462CF-BE90-40CF-94A6-DB6E6E0BF040}</x14:id>
        </ext>
      </extLst>
    </cfRule>
  </conditionalFormatting>
  <conditionalFormatting sqref="D10">
    <cfRule type="dataBar" priority="5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{C2BE1C1C-8D25-4F32-AD8E-12D38ECE7DB4}</x14:id>
        </ext>
      </extLst>
    </cfRule>
  </conditionalFormatting>
  <conditionalFormatting sqref="D11:E17">
    <cfRule type="dataBar" priority="4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{CCB3029A-D8BE-4DBC-9042-A2BB72B5ABF6}</x14:id>
        </ext>
      </extLst>
    </cfRule>
  </conditionalFormatting>
  <conditionalFormatting sqref="G10:H12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{7486B23C-5189-4A39-85FE-8043D98A7D8C}</x14:id>
        </ext>
      </extLst>
    </cfRule>
  </conditionalFormatting>
  <conditionalFormatting sqref="G13:H1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{1A1F778C-0873-48C8-BC7E-C3AA0BFD3CC5}</x14:id>
        </ext>
      </extLst>
    </cfRule>
  </conditionalFormatting>
  <pageMargins left="0.7" right="0.7" top="0.75" bottom="0.75" header="0.3" footer="0.3"/>
  <ignoredErrors>
    <ignoredError sqref="B12" formulaRange="1"/>
  </ignoredErrors>
  <drawing r:id="rId1"/>
  <legacyDrawing r:id="rId2"/>
  <controls>
    <mc:AlternateContent xmlns:mc="http://schemas.openxmlformats.org/markup-compatibility/2006">
      <mc:Choice Requires="x14">
        <control shapeId="5125" r:id="rId3" name="PIAGAM">
          <controlPr defaultSize="0" autoLine="0" r:id="rId4">
            <anchor moveWithCells="1">
              <from>
                <xdr:col>6</xdr:col>
                <xdr:colOff>971550</xdr:colOff>
                <xdr:row>13</xdr:row>
                <xdr:rowOff>133350</xdr:rowOff>
              </from>
              <to>
                <xdr:col>7</xdr:col>
                <xdr:colOff>695325</xdr:colOff>
                <xdr:row>15</xdr:row>
                <xdr:rowOff>9525</xdr:rowOff>
              </to>
            </anchor>
          </controlPr>
        </control>
      </mc:Choice>
      <mc:Fallback>
        <control shapeId="5125" r:id="rId3" name="PIAGAM"/>
      </mc:Fallback>
    </mc:AlternateContent>
    <mc:AlternateContent xmlns:mc="http://schemas.openxmlformats.org/markup-compatibility/2006">
      <mc:Choice Requires="x14">
        <control shapeId="5126" r:id="rId5" name="RAPOR">
          <controlPr defaultSize="0" autoLine="0" r:id="rId6">
            <anchor moveWithCells="1">
              <from>
                <xdr:col>6</xdr:col>
                <xdr:colOff>962025</xdr:colOff>
                <xdr:row>15</xdr:row>
                <xdr:rowOff>47625</xdr:rowOff>
              </from>
              <to>
                <xdr:col>7</xdr:col>
                <xdr:colOff>695325</xdr:colOff>
                <xdr:row>16</xdr:row>
                <xdr:rowOff>104775</xdr:rowOff>
              </to>
            </anchor>
          </controlPr>
        </control>
      </mc:Choice>
      <mc:Fallback>
        <control shapeId="5126" r:id="rId5" name="RAPOR"/>
      </mc:Fallback>
    </mc:AlternateContent>
    <mc:AlternateContent xmlns:mc="http://schemas.openxmlformats.org/markup-compatibility/2006">
      <mc:Choice Requires="x14">
        <control shapeId="5127" r:id="rId7" name="SAMPUL">
          <controlPr defaultSize="0" autoLine="0" r:id="rId8">
            <anchor moveWithCells="1">
              <from>
                <xdr:col>6</xdr:col>
                <xdr:colOff>133350</xdr:colOff>
                <xdr:row>15</xdr:row>
                <xdr:rowOff>47625</xdr:rowOff>
              </from>
              <to>
                <xdr:col>6</xdr:col>
                <xdr:colOff>847725</xdr:colOff>
                <xdr:row>16</xdr:row>
                <xdr:rowOff>104775</xdr:rowOff>
              </to>
            </anchor>
          </controlPr>
        </control>
      </mc:Choice>
      <mc:Fallback>
        <control shapeId="5127" r:id="rId7" name="SAMPUL"/>
      </mc:Fallback>
    </mc:AlternateContent>
    <mc:AlternateContent xmlns:mc="http://schemas.openxmlformats.org/markup-compatibility/2006">
      <mc:Choice Requires="x14">
        <control shapeId="5129" r:id="rId9" name="REKAP">
          <controlPr defaultSize="0" autoLine="0" r:id="rId10">
            <anchor moveWithCells="1">
              <from>
                <xdr:col>6</xdr:col>
                <xdr:colOff>133350</xdr:colOff>
                <xdr:row>13</xdr:row>
                <xdr:rowOff>133350</xdr:rowOff>
              </from>
              <to>
                <xdr:col>6</xdr:col>
                <xdr:colOff>847725</xdr:colOff>
                <xdr:row>15</xdr:row>
                <xdr:rowOff>0</xdr:rowOff>
              </to>
            </anchor>
          </controlPr>
        </control>
      </mc:Choice>
      <mc:Fallback>
        <control shapeId="5129" r:id="rId9" name="REKAP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4DB6A-68D0-4F95-AE05-D9593696F37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</xm:sqref>
        </x14:conditionalFormatting>
        <x14:conditionalFormatting xmlns:xm="http://schemas.microsoft.com/office/excel/2006/main">
          <x14:cfRule type="dataBar" id="{5979D6E9-85C4-4897-BF47-F81868D0CBB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</xm:sqref>
        </x14:conditionalFormatting>
        <x14:conditionalFormatting xmlns:xm="http://schemas.microsoft.com/office/excel/2006/main">
          <x14:cfRule type="dataBar" id="{49DB9615-7E0C-4785-8B71-65B9A742524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B12</xm:sqref>
        </x14:conditionalFormatting>
        <x14:conditionalFormatting xmlns:xm="http://schemas.microsoft.com/office/excel/2006/main">
          <x14:cfRule type="dataBar" id="{29F977FE-5E9E-4969-A059-D0E97050F1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</xm:sqref>
        </x14:conditionalFormatting>
        <x14:conditionalFormatting xmlns:xm="http://schemas.microsoft.com/office/excel/2006/main">
          <x14:cfRule type="dataBar" id="{787462CF-BE90-40CF-94A6-DB6E6E0BF04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C2BE1C1C-8D25-4F32-AD8E-12D38ECE7D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CCB3029A-D8BE-4DBC-9042-A2BB72B5ABF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D11:E17</xm:sqref>
        </x14:conditionalFormatting>
        <x14:conditionalFormatting xmlns:xm="http://schemas.microsoft.com/office/excel/2006/main">
          <x14:cfRule type="dataBar" id="{7486B23C-5189-4A39-85FE-8043D98A7D8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G10:H12</xm:sqref>
        </x14:conditionalFormatting>
        <x14:conditionalFormatting xmlns:xm="http://schemas.microsoft.com/office/excel/2006/main">
          <x14:cfRule type="dataBar" id="{1A1F778C-0873-48C8-BC7E-C3AA0BFD3CC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G13:H13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D5453-18CC-4513-83EA-C5209EDC2EC0}">
  <sheetPr codeName="Sheet2"/>
  <dimension ref="A1:XFC30"/>
  <sheetViews>
    <sheetView zoomScale="85" zoomScaleNormal="85" workbookViewId="0">
      <selection activeCell="D22" sqref="D22"/>
    </sheetView>
  </sheetViews>
  <sheetFormatPr defaultColWidth="0" defaultRowHeight="15" zeroHeight="1" x14ac:dyDescent="0.25"/>
  <cols>
    <col min="1" max="1" width="9.140625" style="15" customWidth="1"/>
    <col min="2" max="2" width="20.5703125" style="15" customWidth="1"/>
    <col min="3" max="3" width="1.7109375" style="15" customWidth="1"/>
    <col min="4" max="4" width="42" style="15" customWidth="1"/>
    <col min="5" max="5" width="6" customWidth="1"/>
    <col min="6" max="6" width="24" customWidth="1"/>
    <col min="7" max="16382" width="9.140625" hidden="1"/>
    <col min="16383" max="16383" width="11.28515625" hidden="1" customWidth="1"/>
    <col min="16384" max="16384" width="13.140625" hidden="1" customWidth="1"/>
  </cols>
  <sheetData>
    <row r="1" spans="2:6" ht="15.75" thickBot="1" x14ac:dyDescent="0.3">
      <c r="E1" s="15"/>
      <c r="F1" s="15"/>
    </row>
    <row r="2" spans="2:6" ht="15" customHeight="1" x14ac:dyDescent="0.25">
      <c r="B2" s="192" t="s">
        <v>0</v>
      </c>
      <c r="C2" s="193"/>
      <c r="D2" s="194"/>
      <c r="E2" s="16"/>
      <c r="F2" s="15"/>
    </row>
    <row r="3" spans="2:6" ht="15" customHeight="1" x14ac:dyDescent="0.25">
      <c r="B3" s="195"/>
      <c r="C3" s="196"/>
      <c r="D3" s="197"/>
      <c r="E3" s="16"/>
      <c r="F3" s="15"/>
    </row>
    <row r="4" spans="2:6" ht="15" customHeight="1" thickBot="1" x14ac:dyDescent="0.3">
      <c r="B4" s="198"/>
      <c r="C4" s="199"/>
      <c r="D4" s="200"/>
      <c r="E4" s="16"/>
      <c r="F4" s="15"/>
    </row>
    <row r="5" spans="2:6" ht="19.5" customHeight="1" x14ac:dyDescent="0.25">
      <c r="B5" s="10" t="s">
        <v>20</v>
      </c>
      <c r="C5" s="11" t="s">
        <v>1</v>
      </c>
      <c r="D5" s="148" t="s">
        <v>2</v>
      </c>
      <c r="E5" s="15"/>
      <c r="F5" s="15"/>
    </row>
    <row r="6" spans="2:6" ht="19.5" customHeight="1" x14ac:dyDescent="0.25">
      <c r="B6" s="12" t="s">
        <v>21</v>
      </c>
      <c r="C6" s="13" t="s">
        <v>1</v>
      </c>
      <c r="D6" s="149" t="s">
        <v>43</v>
      </c>
      <c r="E6" s="15"/>
      <c r="F6" s="15"/>
    </row>
    <row r="7" spans="2:6" ht="19.5" customHeight="1" x14ac:dyDescent="0.25">
      <c r="B7" s="12" t="s">
        <v>4</v>
      </c>
      <c r="C7" s="13" t="s">
        <v>1</v>
      </c>
      <c r="D7" s="149">
        <v>20202721</v>
      </c>
      <c r="E7" s="15"/>
      <c r="F7" s="15"/>
    </row>
    <row r="8" spans="2:6" ht="19.5" customHeight="1" x14ac:dyDescent="0.25">
      <c r="B8" s="12" t="s">
        <v>3</v>
      </c>
      <c r="C8" s="13" t="s">
        <v>1</v>
      </c>
      <c r="D8" s="150">
        <v>101020607020</v>
      </c>
      <c r="E8" s="15"/>
      <c r="F8" s="15"/>
    </row>
    <row r="9" spans="2:6" ht="19.5" customHeight="1" x14ac:dyDescent="0.25">
      <c r="B9" s="12" t="s">
        <v>22</v>
      </c>
      <c r="C9" s="13" t="s">
        <v>1</v>
      </c>
      <c r="D9" s="149" t="s">
        <v>5</v>
      </c>
      <c r="E9" s="15"/>
      <c r="F9" s="15"/>
    </row>
    <row r="10" spans="2:6" ht="19.5" customHeight="1" x14ac:dyDescent="0.25">
      <c r="B10" s="12" t="s">
        <v>23</v>
      </c>
      <c r="C10" s="13" t="s">
        <v>1</v>
      </c>
      <c r="D10" s="149" t="s">
        <v>6</v>
      </c>
      <c r="E10" s="15"/>
      <c r="F10" s="15"/>
    </row>
    <row r="11" spans="2:6" ht="19.5" customHeight="1" x14ac:dyDescent="0.25">
      <c r="B11" s="12" t="s">
        <v>24</v>
      </c>
      <c r="C11" s="13" t="s">
        <v>1</v>
      </c>
      <c r="D11" s="149" t="s">
        <v>7</v>
      </c>
      <c r="E11" s="15"/>
      <c r="F11" s="15"/>
    </row>
    <row r="12" spans="2:6" ht="19.5" customHeight="1" x14ac:dyDescent="0.25">
      <c r="B12" s="14" t="s">
        <v>25</v>
      </c>
      <c r="C12" s="13" t="s">
        <v>1</v>
      </c>
      <c r="D12" s="149" t="s">
        <v>473</v>
      </c>
      <c r="E12" s="15"/>
      <c r="F12" s="15"/>
    </row>
    <row r="13" spans="2:6" ht="19.5" customHeight="1" x14ac:dyDescent="0.25">
      <c r="B13" s="14" t="s">
        <v>26</v>
      </c>
      <c r="C13" s="13" t="s">
        <v>1</v>
      </c>
      <c r="D13" s="149" t="s">
        <v>9</v>
      </c>
      <c r="E13" s="15"/>
      <c r="F13" s="15"/>
    </row>
    <row r="14" spans="2:6" ht="19.5" customHeight="1" x14ac:dyDescent="0.25">
      <c r="B14" s="14" t="s">
        <v>27</v>
      </c>
      <c r="C14" s="13" t="s">
        <v>1</v>
      </c>
      <c r="D14" s="149">
        <v>43152</v>
      </c>
      <c r="E14" s="15"/>
      <c r="F14" s="15"/>
    </row>
    <row r="15" spans="2:6" ht="19.5" customHeight="1" x14ac:dyDescent="0.25">
      <c r="B15" s="14" t="s">
        <v>29</v>
      </c>
      <c r="C15" s="13" t="s">
        <v>1</v>
      </c>
      <c r="D15" s="149" t="s">
        <v>10</v>
      </c>
      <c r="E15" s="15"/>
      <c r="F15" s="15"/>
    </row>
    <row r="16" spans="2:6" ht="19.5" customHeight="1" x14ac:dyDescent="0.25">
      <c r="B16" s="14" t="s">
        <v>28</v>
      </c>
      <c r="C16" s="13" t="s">
        <v>1</v>
      </c>
      <c r="D16" s="149" t="s">
        <v>10</v>
      </c>
      <c r="E16" s="15"/>
      <c r="F16" s="15"/>
    </row>
    <row r="17" spans="2:6" ht="19.5" customHeight="1" x14ac:dyDescent="0.25">
      <c r="B17" s="14" t="s">
        <v>31</v>
      </c>
      <c r="C17" s="13" t="s">
        <v>1</v>
      </c>
      <c r="D17" s="151" t="s">
        <v>13</v>
      </c>
      <c r="E17" s="15"/>
      <c r="F17" s="15"/>
    </row>
    <row r="18" spans="2:6" ht="19.5" customHeight="1" x14ac:dyDescent="0.25">
      <c r="B18" s="14" t="s">
        <v>39</v>
      </c>
      <c r="C18" s="13" t="s">
        <v>1</v>
      </c>
      <c r="D18" s="149" t="s">
        <v>41</v>
      </c>
      <c r="E18" s="15"/>
      <c r="F18" s="15"/>
    </row>
    <row r="19" spans="2:6" ht="19.5" customHeight="1" x14ac:dyDescent="0.25">
      <c r="B19" s="14" t="s">
        <v>40</v>
      </c>
      <c r="C19" s="13" t="s">
        <v>1</v>
      </c>
      <c r="D19" s="149" t="s">
        <v>427</v>
      </c>
      <c r="E19" s="15"/>
      <c r="F19" s="15"/>
    </row>
    <row r="20" spans="2:6" ht="19.5" customHeight="1" x14ac:dyDescent="0.25">
      <c r="B20" s="14" t="s">
        <v>37</v>
      </c>
      <c r="C20" s="13" t="s">
        <v>1</v>
      </c>
      <c r="D20" s="149" t="s">
        <v>14</v>
      </c>
      <c r="E20" s="86" t="s">
        <v>425</v>
      </c>
      <c r="F20" s="15"/>
    </row>
    <row r="21" spans="2:6" ht="19.5" customHeight="1" x14ac:dyDescent="0.25">
      <c r="B21" s="14" t="s">
        <v>38</v>
      </c>
      <c r="C21" s="13" t="s">
        <v>1</v>
      </c>
      <c r="D21" s="149" t="s">
        <v>15</v>
      </c>
      <c r="E21" s="15"/>
      <c r="F21" s="15"/>
    </row>
    <row r="22" spans="2:6" ht="19.5" customHeight="1" x14ac:dyDescent="0.25">
      <c r="B22" s="14" t="s">
        <v>80</v>
      </c>
      <c r="C22" s="13" t="s">
        <v>1</v>
      </c>
      <c r="D22" s="149">
        <v>3</v>
      </c>
      <c r="E22" s="15"/>
      <c r="F22" s="15"/>
    </row>
    <row r="23" spans="2:6" ht="19.5" customHeight="1" x14ac:dyDescent="0.25">
      <c r="B23" s="14" t="s">
        <v>30</v>
      </c>
      <c r="C23" s="13" t="s">
        <v>1</v>
      </c>
      <c r="D23" s="149" t="s">
        <v>11</v>
      </c>
      <c r="E23" s="15"/>
      <c r="F23" s="15"/>
    </row>
    <row r="24" spans="2:6" ht="19.5" customHeight="1" x14ac:dyDescent="0.25">
      <c r="B24" s="14" t="s">
        <v>32</v>
      </c>
      <c r="C24" s="13" t="s">
        <v>1</v>
      </c>
      <c r="D24" s="152">
        <v>1.9690827200012099E+17</v>
      </c>
      <c r="E24" s="15"/>
      <c r="F24" s="15"/>
    </row>
    <row r="25" spans="2:6" ht="19.5" customHeight="1" x14ac:dyDescent="0.25">
      <c r="B25" s="14" t="s">
        <v>33</v>
      </c>
      <c r="C25" s="13" t="s">
        <v>1</v>
      </c>
      <c r="D25" s="149" t="s">
        <v>12</v>
      </c>
      <c r="E25" s="15"/>
      <c r="F25" s="15"/>
    </row>
    <row r="26" spans="2:6" ht="19.5" customHeight="1" x14ac:dyDescent="0.25">
      <c r="B26" s="14" t="s">
        <v>34</v>
      </c>
      <c r="C26" s="13" t="s">
        <v>1</v>
      </c>
      <c r="D26" s="149" t="s">
        <v>10</v>
      </c>
      <c r="E26" s="15"/>
      <c r="F26" s="15"/>
    </row>
    <row r="27" spans="2:6" ht="19.5" customHeight="1" x14ac:dyDescent="0.25">
      <c r="B27" s="14" t="s">
        <v>35</v>
      </c>
      <c r="C27" s="13" t="s">
        <v>1</v>
      </c>
      <c r="D27" s="149" t="s">
        <v>8</v>
      </c>
      <c r="E27" s="15"/>
      <c r="F27" s="15"/>
    </row>
    <row r="28" spans="2:6" ht="19.5" customHeight="1" thickBot="1" x14ac:dyDescent="0.3">
      <c r="B28" s="14" t="s">
        <v>36</v>
      </c>
      <c r="C28" s="13" t="s">
        <v>1</v>
      </c>
      <c r="D28" s="153" t="s">
        <v>42</v>
      </c>
      <c r="E28" s="15"/>
      <c r="F28" s="15"/>
    </row>
    <row r="29" spans="2:6" ht="19.5" customHeight="1" x14ac:dyDescent="0.25">
      <c r="E29" s="15"/>
      <c r="F29" s="15"/>
    </row>
    <row r="30" spans="2:6" x14ac:dyDescent="0.25">
      <c r="E30" s="15"/>
      <c r="F30" s="15"/>
    </row>
  </sheetData>
  <sheetProtection sheet="1" objects="1" scenarios="1"/>
  <mergeCells count="1">
    <mergeCell ref="B2:D4"/>
  </mergeCells>
  <dataValidations count="2">
    <dataValidation type="list" allowBlank="1" showInputMessage="1" showErrorMessage="1" sqref="D22" xr:uid="{B071B275-5B62-48D1-961D-659C41147F89}">
      <formula1>"1,2,3,4,5,6,7,8,9,10,11,12,13,14,15,16,17,18,19,20,21,22,23,24,25,26,27,28,29,30,31,32,33,34,35,36,37,38,39,40,41,42,43,44,45,46,47,48,49,50,51,52,53,54,55,56,57,58,59,60"</formula1>
    </dataValidation>
    <dataValidation type="list" allowBlank="1" showInputMessage="1" showErrorMessage="1" sqref="D19" xr:uid="{EBA93DB1-7A42-4ED4-B195-F7CC978342B6}">
      <formula1>"I,II"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3" r:id="rId3" name="UndoHapusProfilSekolah">
          <controlPr defaultSize="0" autoLine="0" r:id="rId4">
            <anchor moveWithCells="1">
              <from>
                <xdr:col>4</xdr:col>
                <xdr:colOff>123825</xdr:colOff>
                <xdr:row>4</xdr:row>
                <xdr:rowOff>200025</xdr:rowOff>
              </from>
              <to>
                <xdr:col>5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43" r:id="rId3" name="UndoHapusProfilSekolah"/>
      </mc:Fallback>
    </mc:AlternateContent>
    <mc:AlternateContent xmlns:mc="http://schemas.openxmlformats.org/markup-compatibility/2006">
      <mc:Choice Requires="x14">
        <control shapeId="1041" r:id="rId5" name="MENU">
          <controlPr defaultSize="0" autoLine="0" r:id="rId6">
            <anchor moveWithCells="1">
              <from>
                <xdr:col>4</xdr:col>
                <xdr:colOff>123825</xdr:colOff>
                <xdr:row>1</xdr:row>
                <xdr:rowOff>19050</xdr:rowOff>
              </from>
              <to>
                <xdr:col>5</xdr:col>
                <xdr:colOff>1438275</xdr:colOff>
                <xdr:row>4</xdr:row>
                <xdr:rowOff>142875</xdr:rowOff>
              </to>
            </anchor>
          </controlPr>
        </control>
      </mc:Choice>
      <mc:Fallback>
        <control shapeId="1041" r:id="rId5" name="MENU"/>
      </mc:Fallback>
    </mc:AlternateContent>
    <mc:AlternateContent xmlns:mc="http://schemas.openxmlformats.org/markup-compatibility/2006">
      <mc:Choice Requires="x14">
        <control shapeId="1042" r:id="rId7" name="HapusDataProfil">
          <controlPr defaultSize="0" autoLine="0" r:id="rId8">
            <anchor moveWithCells="1">
              <from>
                <xdr:col>5</xdr:col>
                <xdr:colOff>352425</xdr:colOff>
                <xdr:row>4</xdr:row>
                <xdr:rowOff>190500</xdr:rowOff>
              </from>
              <to>
                <xdr:col>5</xdr:col>
                <xdr:colOff>1428750</xdr:colOff>
                <xdr:row>6</xdr:row>
                <xdr:rowOff>0</xdr:rowOff>
              </to>
            </anchor>
          </controlPr>
        </control>
      </mc:Choice>
      <mc:Fallback>
        <control shapeId="1042" r:id="rId7" name="HapusDataProfi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ED67-F266-4BBE-A85A-632F1564F497}">
  <sheetPr codeName="Sheet3"/>
  <dimension ref="A1:X70"/>
  <sheetViews>
    <sheetView zoomScale="55" zoomScaleNormal="55" workbookViewId="0">
      <pane xSplit="4" ySplit="5" topLeftCell="E6" activePane="bottomRight" state="frozen"/>
      <selection pane="topRight" activeCell="E1" sqref="E1"/>
      <selection pane="bottomLeft" activeCell="A6" sqref="A6"/>
      <selection pane="bottomRight"/>
    </sheetView>
  </sheetViews>
  <sheetFormatPr defaultColWidth="0" defaultRowHeight="15" zeroHeight="1" x14ac:dyDescent="0.25"/>
  <cols>
    <col min="1" max="1" width="4.140625" style="19" bestFit="1" customWidth="1"/>
    <col min="2" max="2" width="15.7109375" style="1" customWidth="1"/>
    <col min="3" max="3" width="14.28515625" style="1" customWidth="1"/>
    <col min="4" max="4" width="39" style="1" customWidth="1"/>
    <col min="5" max="5" width="11.5703125" style="1" customWidth="1"/>
    <col min="6" max="6" width="13.42578125" style="1" customWidth="1"/>
    <col min="7" max="7" width="12.140625" style="20" bestFit="1" customWidth="1"/>
    <col min="8" max="8" width="12.5703125" style="1" customWidth="1"/>
    <col min="9" max="9" width="9.140625" style="1" customWidth="1"/>
    <col min="10" max="10" width="10" style="1" bestFit="1" customWidth="1"/>
    <col min="11" max="11" width="36.5703125" style="1" customWidth="1"/>
    <col min="12" max="12" width="28.42578125" style="1" customWidth="1"/>
    <col min="13" max="13" width="23.28515625" style="1" customWidth="1"/>
    <col min="14" max="14" width="29.140625" style="1" customWidth="1"/>
    <col min="15" max="15" width="26.85546875" style="1" customWidth="1"/>
    <col min="16" max="16" width="31.42578125" style="1" customWidth="1"/>
    <col min="17" max="17" width="22" style="1" customWidth="1"/>
    <col min="18" max="18" width="19.85546875" style="1" customWidth="1"/>
    <col min="19" max="19" width="25" style="1" customWidth="1"/>
    <col min="20" max="20" width="20.42578125" style="1" customWidth="1"/>
    <col min="21" max="21" width="30.28515625" style="1" customWidth="1"/>
    <col min="22" max="22" width="25" style="1" customWidth="1"/>
    <col min="23" max="23" width="29.42578125" style="1" customWidth="1"/>
    <col min="24" max="24" width="9.140625" style="1" customWidth="1"/>
    <col min="25" max="16384" width="9.140625" style="1" hidden="1"/>
  </cols>
  <sheetData>
    <row r="1" spans="1:24" x14ac:dyDescent="0.25">
      <c r="A1" s="38"/>
      <c r="B1" s="7"/>
      <c r="C1" s="7"/>
      <c r="D1" s="7"/>
      <c r="E1" s="7"/>
      <c r="F1" s="7"/>
      <c r="G1" s="39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x14ac:dyDescent="0.25">
      <c r="A2" s="38"/>
      <c r="B2" s="7"/>
      <c r="C2" s="7"/>
      <c r="D2" s="7"/>
      <c r="E2" s="7"/>
      <c r="F2" s="7"/>
      <c r="G2" s="39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5">
      <c r="A3" s="38"/>
      <c r="B3" s="7"/>
      <c r="C3" s="7"/>
      <c r="D3" s="7"/>
      <c r="E3" s="7"/>
      <c r="F3" s="7"/>
      <c r="G3" s="3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5">
      <c r="A4" s="38"/>
      <c r="B4" s="7"/>
      <c r="C4" s="7"/>
      <c r="D4" s="7"/>
      <c r="E4" s="7"/>
      <c r="F4" s="7"/>
      <c r="G4" s="3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5">
      <c r="A5" s="38"/>
      <c r="B5" s="7"/>
      <c r="C5" s="7"/>
      <c r="D5" s="7"/>
      <c r="E5" s="7"/>
      <c r="F5" s="7"/>
      <c r="G5" s="39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ht="15" customHeight="1" x14ac:dyDescent="0.25">
      <c r="A6" s="201" t="s">
        <v>67</v>
      </c>
      <c r="B6" s="201"/>
      <c r="C6" s="201"/>
      <c r="D6" s="201"/>
      <c r="E6" s="201"/>
      <c r="F6" s="201"/>
      <c r="G6" s="201"/>
      <c r="H6" s="201"/>
      <c r="I6" s="201"/>
      <c r="J6" s="201"/>
      <c r="K6" s="202"/>
      <c r="L6" s="203" t="s">
        <v>50</v>
      </c>
      <c r="M6" s="203"/>
      <c r="N6" s="203" t="s">
        <v>51</v>
      </c>
      <c r="O6" s="203"/>
      <c r="P6" s="203" t="s">
        <v>52</v>
      </c>
      <c r="Q6" s="203"/>
      <c r="R6" s="203"/>
      <c r="S6" s="203"/>
      <c r="T6" s="203"/>
      <c r="U6" s="203" t="s">
        <v>68</v>
      </c>
      <c r="V6" s="203"/>
      <c r="W6" s="203"/>
      <c r="X6" s="7"/>
    </row>
    <row r="7" spans="1:24" s="18" customFormat="1" ht="28.5" x14ac:dyDescent="0.25">
      <c r="A7" s="21" t="s">
        <v>53</v>
      </c>
      <c r="B7" s="21" t="s">
        <v>54</v>
      </c>
      <c r="C7" s="21" t="s">
        <v>55</v>
      </c>
      <c r="D7" s="21" t="s">
        <v>56</v>
      </c>
      <c r="E7" s="21" t="s">
        <v>70</v>
      </c>
      <c r="F7" s="22" t="s">
        <v>44</v>
      </c>
      <c r="G7" s="23" t="s">
        <v>45</v>
      </c>
      <c r="H7" s="22" t="s">
        <v>46</v>
      </c>
      <c r="I7" s="22" t="s">
        <v>47</v>
      </c>
      <c r="J7" s="24" t="s">
        <v>48</v>
      </c>
      <c r="K7" s="25" t="s">
        <v>49</v>
      </c>
      <c r="L7" s="26" t="s">
        <v>57</v>
      </c>
      <c r="M7" s="26" t="s">
        <v>58</v>
      </c>
      <c r="N7" s="26" t="s">
        <v>57</v>
      </c>
      <c r="O7" s="26" t="s">
        <v>58</v>
      </c>
      <c r="P7" s="26" t="s">
        <v>59</v>
      </c>
      <c r="Q7" s="26" t="s">
        <v>60</v>
      </c>
      <c r="R7" s="27" t="s">
        <v>61</v>
      </c>
      <c r="S7" s="27" t="s">
        <v>62</v>
      </c>
      <c r="T7" s="27" t="s">
        <v>63</v>
      </c>
      <c r="U7" s="26" t="s">
        <v>64</v>
      </c>
      <c r="V7" s="26" t="s">
        <v>65</v>
      </c>
      <c r="W7" s="26" t="s">
        <v>66</v>
      </c>
      <c r="X7" s="40"/>
    </row>
    <row r="8" spans="1:24" x14ac:dyDescent="0.25">
      <c r="A8" s="17">
        <v>1</v>
      </c>
      <c r="B8" s="154">
        <v>3149274777</v>
      </c>
      <c r="C8" s="154">
        <v>202101001</v>
      </c>
      <c r="D8" s="155" t="s">
        <v>69</v>
      </c>
      <c r="E8" s="155" t="s">
        <v>71</v>
      </c>
      <c r="F8" s="155" t="s">
        <v>8</v>
      </c>
      <c r="G8" s="156" t="s">
        <v>464</v>
      </c>
      <c r="H8" s="155" t="s">
        <v>465</v>
      </c>
      <c r="I8" s="155" t="s">
        <v>72</v>
      </c>
      <c r="J8" s="155" t="s">
        <v>10</v>
      </c>
      <c r="K8" s="155" t="s">
        <v>73</v>
      </c>
      <c r="L8" s="155" t="s">
        <v>74</v>
      </c>
      <c r="M8" s="155" t="s">
        <v>75</v>
      </c>
      <c r="N8" s="155" t="s">
        <v>76</v>
      </c>
      <c r="O8" s="155" t="s">
        <v>77</v>
      </c>
      <c r="P8" s="155" t="s">
        <v>73</v>
      </c>
      <c r="Q8" s="155" t="s">
        <v>477</v>
      </c>
      <c r="R8" s="155" t="s">
        <v>78</v>
      </c>
      <c r="S8" s="155" t="s">
        <v>79</v>
      </c>
      <c r="T8" s="155" t="s">
        <v>9</v>
      </c>
      <c r="U8" s="155" t="s">
        <v>10</v>
      </c>
      <c r="V8" s="155" t="s">
        <v>10</v>
      </c>
      <c r="W8" s="155" t="s">
        <v>10</v>
      </c>
      <c r="X8" s="7"/>
    </row>
    <row r="9" spans="1:24" x14ac:dyDescent="0.25">
      <c r="A9" s="17">
        <v>2</v>
      </c>
      <c r="B9" s="154">
        <v>214312423</v>
      </c>
      <c r="C9" s="154">
        <v>12312312</v>
      </c>
      <c r="D9" s="155" t="s">
        <v>360</v>
      </c>
      <c r="E9" s="155" t="s">
        <v>361</v>
      </c>
      <c r="F9" s="155" t="s">
        <v>8</v>
      </c>
      <c r="G9" s="156" t="s">
        <v>475</v>
      </c>
      <c r="H9" s="155" t="s">
        <v>476</v>
      </c>
      <c r="I9" s="155" t="s">
        <v>72</v>
      </c>
      <c r="J9" s="155" t="s">
        <v>10</v>
      </c>
      <c r="K9" s="155" t="s">
        <v>10</v>
      </c>
      <c r="L9" s="155" t="s">
        <v>424</v>
      </c>
      <c r="M9" s="155" t="s">
        <v>10</v>
      </c>
      <c r="N9" s="155" t="s">
        <v>10</v>
      </c>
      <c r="O9" s="155" t="s">
        <v>10</v>
      </c>
      <c r="P9" s="155" t="s">
        <v>10</v>
      </c>
      <c r="Q9" s="155" t="s">
        <v>10</v>
      </c>
      <c r="R9" s="155" t="s">
        <v>10</v>
      </c>
      <c r="S9" s="155" t="s">
        <v>10</v>
      </c>
      <c r="T9" s="155" t="s">
        <v>10</v>
      </c>
      <c r="U9" s="155" t="s">
        <v>10</v>
      </c>
      <c r="V9" s="155" t="s">
        <v>10</v>
      </c>
      <c r="W9" s="155" t="s">
        <v>10</v>
      </c>
      <c r="X9" s="7"/>
    </row>
    <row r="10" spans="1:24" x14ac:dyDescent="0.25">
      <c r="A10" s="17">
        <v>3</v>
      </c>
      <c r="B10" s="154"/>
      <c r="C10" s="154"/>
      <c r="D10" s="155"/>
      <c r="E10" s="155"/>
      <c r="F10" s="155"/>
      <c r="G10" s="156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7"/>
    </row>
    <row r="11" spans="1:24" hidden="1" x14ac:dyDescent="0.25">
      <c r="A11" s="17">
        <v>4</v>
      </c>
      <c r="B11" s="154"/>
      <c r="C11" s="154"/>
      <c r="D11" s="155"/>
      <c r="E11" s="155"/>
      <c r="F11" s="155"/>
      <c r="G11" s="156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7"/>
    </row>
    <row r="12" spans="1:24" hidden="1" x14ac:dyDescent="0.25">
      <c r="A12" s="17">
        <v>5</v>
      </c>
      <c r="B12" s="154"/>
      <c r="C12" s="154"/>
      <c r="D12" s="155"/>
      <c r="E12" s="155"/>
      <c r="F12" s="155"/>
      <c r="G12" s="156"/>
      <c r="H12" s="155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7"/>
    </row>
    <row r="13" spans="1:24" hidden="1" x14ac:dyDescent="0.25">
      <c r="A13" s="17">
        <v>6</v>
      </c>
      <c r="B13" s="154"/>
      <c r="C13" s="154"/>
      <c r="D13" s="155"/>
      <c r="E13" s="155"/>
      <c r="F13" s="155"/>
      <c r="G13" s="156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7"/>
    </row>
    <row r="14" spans="1:24" hidden="1" x14ac:dyDescent="0.25">
      <c r="A14" s="17">
        <v>7</v>
      </c>
      <c r="B14" s="154"/>
      <c r="C14" s="154"/>
      <c r="D14" s="155"/>
      <c r="E14" s="155"/>
      <c r="F14" s="155"/>
      <c r="G14" s="156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7"/>
    </row>
    <row r="15" spans="1:24" hidden="1" x14ac:dyDescent="0.25">
      <c r="A15" s="17">
        <v>8</v>
      </c>
      <c r="B15" s="154"/>
      <c r="C15" s="154"/>
      <c r="D15" s="155"/>
      <c r="E15" s="155"/>
      <c r="F15" s="155"/>
      <c r="G15" s="156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7"/>
    </row>
    <row r="16" spans="1:24" hidden="1" x14ac:dyDescent="0.25">
      <c r="A16" s="17">
        <v>9</v>
      </c>
      <c r="B16" s="154"/>
      <c r="C16" s="154"/>
      <c r="D16" s="155"/>
      <c r="E16" s="155"/>
      <c r="F16" s="155"/>
      <c r="G16" s="156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7"/>
    </row>
    <row r="17" spans="1:24" hidden="1" x14ac:dyDescent="0.25">
      <c r="A17" s="17">
        <v>10</v>
      </c>
      <c r="B17" s="154"/>
      <c r="C17" s="154"/>
      <c r="D17" s="155"/>
      <c r="E17" s="155"/>
      <c r="F17" s="155"/>
      <c r="G17" s="156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7"/>
    </row>
    <row r="18" spans="1:24" hidden="1" x14ac:dyDescent="0.25">
      <c r="A18" s="17">
        <v>11</v>
      </c>
      <c r="B18" s="154"/>
      <c r="C18" s="154"/>
      <c r="D18" s="155"/>
      <c r="E18" s="155"/>
      <c r="F18" s="155"/>
      <c r="G18" s="156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7"/>
    </row>
    <row r="19" spans="1:24" hidden="1" x14ac:dyDescent="0.25">
      <c r="A19" s="17">
        <v>12</v>
      </c>
      <c r="B19" s="154"/>
      <c r="C19" s="154"/>
      <c r="D19" s="155"/>
      <c r="E19" s="155"/>
      <c r="F19" s="155"/>
      <c r="G19" s="156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7"/>
    </row>
    <row r="20" spans="1:24" hidden="1" x14ac:dyDescent="0.25">
      <c r="A20" s="17">
        <v>13</v>
      </c>
      <c r="B20" s="154"/>
      <c r="C20" s="154"/>
      <c r="D20" s="155"/>
      <c r="E20" s="155"/>
      <c r="F20" s="155"/>
      <c r="G20" s="156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7"/>
    </row>
    <row r="21" spans="1:24" hidden="1" x14ac:dyDescent="0.25">
      <c r="A21" s="17">
        <v>14</v>
      </c>
      <c r="B21" s="154"/>
      <c r="C21" s="154"/>
      <c r="D21" s="155"/>
      <c r="E21" s="155"/>
      <c r="F21" s="155"/>
      <c r="G21" s="156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7"/>
    </row>
    <row r="22" spans="1:24" hidden="1" x14ac:dyDescent="0.25">
      <c r="A22" s="17">
        <v>15</v>
      </c>
      <c r="B22" s="154"/>
      <c r="C22" s="154"/>
      <c r="D22" s="155"/>
      <c r="E22" s="155"/>
      <c r="F22" s="155"/>
      <c r="G22" s="156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7"/>
    </row>
    <row r="23" spans="1:24" hidden="1" x14ac:dyDescent="0.25">
      <c r="A23" s="17">
        <v>16</v>
      </c>
      <c r="B23" s="154"/>
      <c r="C23" s="154"/>
      <c r="D23" s="155"/>
      <c r="E23" s="155"/>
      <c r="F23" s="155"/>
      <c r="G23" s="156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7"/>
    </row>
    <row r="24" spans="1:24" hidden="1" x14ac:dyDescent="0.25">
      <c r="A24" s="17">
        <v>17</v>
      </c>
      <c r="B24" s="154"/>
      <c r="C24" s="154"/>
      <c r="D24" s="155"/>
      <c r="E24" s="155"/>
      <c r="F24" s="155"/>
      <c r="G24" s="156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7"/>
    </row>
    <row r="25" spans="1:24" hidden="1" x14ac:dyDescent="0.25">
      <c r="A25" s="17">
        <v>18</v>
      </c>
      <c r="B25" s="154"/>
      <c r="C25" s="154"/>
      <c r="D25" s="155"/>
      <c r="E25" s="155"/>
      <c r="F25" s="155"/>
      <c r="G25" s="156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7"/>
    </row>
    <row r="26" spans="1:24" hidden="1" x14ac:dyDescent="0.25">
      <c r="A26" s="17">
        <v>19</v>
      </c>
      <c r="B26" s="154"/>
      <c r="C26" s="154"/>
      <c r="D26" s="155"/>
      <c r="E26" s="155"/>
      <c r="F26" s="155"/>
      <c r="G26" s="156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7"/>
    </row>
    <row r="27" spans="1:24" hidden="1" x14ac:dyDescent="0.25">
      <c r="A27" s="17">
        <v>20</v>
      </c>
      <c r="B27" s="154"/>
      <c r="C27" s="154"/>
      <c r="D27" s="155"/>
      <c r="E27" s="155"/>
      <c r="F27" s="155"/>
      <c r="G27" s="156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7"/>
    </row>
    <row r="28" spans="1:24" hidden="1" x14ac:dyDescent="0.25">
      <c r="A28" s="17">
        <v>21</v>
      </c>
      <c r="B28" s="154"/>
      <c r="C28" s="154"/>
      <c r="D28" s="155"/>
      <c r="E28" s="155"/>
      <c r="F28" s="155"/>
      <c r="G28" s="156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7"/>
    </row>
    <row r="29" spans="1:24" hidden="1" x14ac:dyDescent="0.25">
      <c r="A29" s="17">
        <v>22</v>
      </c>
      <c r="B29" s="154"/>
      <c r="C29" s="154"/>
      <c r="D29" s="155"/>
      <c r="E29" s="155"/>
      <c r="F29" s="155"/>
      <c r="G29" s="156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7"/>
    </row>
    <row r="30" spans="1:24" hidden="1" x14ac:dyDescent="0.25">
      <c r="A30" s="17">
        <v>23</v>
      </c>
      <c r="B30" s="154"/>
      <c r="C30" s="154"/>
      <c r="D30" s="155"/>
      <c r="E30" s="155"/>
      <c r="F30" s="155"/>
      <c r="G30" s="156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7"/>
    </row>
    <row r="31" spans="1:24" hidden="1" x14ac:dyDescent="0.25">
      <c r="A31" s="17">
        <v>24</v>
      </c>
      <c r="B31" s="154"/>
      <c r="C31" s="154"/>
      <c r="D31" s="155"/>
      <c r="E31" s="155"/>
      <c r="F31" s="155"/>
      <c r="G31" s="156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7"/>
    </row>
    <row r="32" spans="1:24" hidden="1" x14ac:dyDescent="0.25">
      <c r="A32" s="17">
        <v>25</v>
      </c>
      <c r="B32" s="154"/>
      <c r="C32" s="154"/>
      <c r="D32" s="155"/>
      <c r="E32" s="155"/>
      <c r="F32" s="155"/>
      <c r="G32" s="156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7"/>
    </row>
    <row r="33" spans="1:24" hidden="1" x14ac:dyDescent="0.25">
      <c r="A33" s="17">
        <v>26</v>
      </c>
      <c r="B33" s="154"/>
      <c r="C33" s="154"/>
      <c r="D33" s="155"/>
      <c r="E33" s="155"/>
      <c r="F33" s="155"/>
      <c r="G33" s="156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7"/>
    </row>
    <row r="34" spans="1:24" hidden="1" x14ac:dyDescent="0.25">
      <c r="A34" s="17">
        <v>27</v>
      </c>
      <c r="B34" s="154"/>
      <c r="C34" s="154"/>
      <c r="D34" s="155"/>
      <c r="E34" s="155"/>
      <c r="F34" s="155"/>
      <c r="G34" s="156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7"/>
    </row>
    <row r="35" spans="1:24" hidden="1" x14ac:dyDescent="0.25">
      <c r="A35" s="17">
        <v>28</v>
      </c>
      <c r="B35" s="154"/>
      <c r="C35" s="154"/>
      <c r="D35" s="155"/>
      <c r="E35" s="155"/>
      <c r="F35" s="155"/>
      <c r="G35" s="156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7"/>
    </row>
    <row r="36" spans="1:24" hidden="1" x14ac:dyDescent="0.25">
      <c r="A36" s="17">
        <v>29</v>
      </c>
      <c r="B36" s="154"/>
      <c r="C36" s="154"/>
      <c r="D36" s="155"/>
      <c r="E36" s="155"/>
      <c r="F36" s="155"/>
      <c r="G36" s="156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7"/>
    </row>
    <row r="37" spans="1:24" hidden="1" x14ac:dyDescent="0.25">
      <c r="A37" s="17">
        <v>30</v>
      </c>
      <c r="B37" s="154"/>
      <c r="C37" s="154"/>
      <c r="D37" s="155"/>
      <c r="E37" s="155"/>
      <c r="F37" s="155"/>
      <c r="G37" s="156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7"/>
    </row>
    <row r="38" spans="1:24" hidden="1" x14ac:dyDescent="0.25">
      <c r="A38" s="17">
        <v>31</v>
      </c>
      <c r="B38" s="154"/>
      <c r="C38" s="154"/>
      <c r="D38" s="155"/>
      <c r="E38" s="155"/>
      <c r="F38" s="155"/>
      <c r="G38" s="156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7"/>
    </row>
    <row r="39" spans="1:24" hidden="1" x14ac:dyDescent="0.25">
      <c r="A39" s="17">
        <v>32</v>
      </c>
      <c r="B39" s="154"/>
      <c r="C39" s="154"/>
      <c r="D39" s="155"/>
      <c r="E39" s="155"/>
      <c r="F39" s="155"/>
      <c r="G39" s="156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7"/>
    </row>
    <row r="40" spans="1:24" hidden="1" x14ac:dyDescent="0.25">
      <c r="A40" s="17">
        <v>33</v>
      </c>
      <c r="B40" s="154"/>
      <c r="C40" s="154"/>
      <c r="D40" s="155"/>
      <c r="E40" s="155"/>
      <c r="F40" s="155"/>
      <c r="G40" s="156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7"/>
    </row>
    <row r="41" spans="1:24" hidden="1" x14ac:dyDescent="0.25">
      <c r="A41" s="17">
        <v>34</v>
      </c>
      <c r="B41" s="154"/>
      <c r="C41" s="154"/>
      <c r="D41" s="155"/>
      <c r="E41" s="155"/>
      <c r="F41" s="155"/>
      <c r="G41" s="156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7"/>
    </row>
    <row r="42" spans="1:24" hidden="1" x14ac:dyDescent="0.25">
      <c r="A42" s="17">
        <v>35</v>
      </c>
      <c r="B42" s="154"/>
      <c r="C42" s="154"/>
      <c r="D42" s="155"/>
      <c r="E42" s="155"/>
      <c r="F42" s="155"/>
      <c r="G42" s="156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7"/>
    </row>
    <row r="43" spans="1:24" hidden="1" x14ac:dyDescent="0.25">
      <c r="A43" s="17">
        <v>36</v>
      </c>
      <c r="B43" s="154"/>
      <c r="C43" s="154"/>
      <c r="D43" s="155"/>
      <c r="E43" s="155"/>
      <c r="F43" s="155"/>
      <c r="G43" s="156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7"/>
    </row>
    <row r="44" spans="1:24" hidden="1" x14ac:dyDescent="0.25">
      <c r="A44" s="17">
        <v>37</v>
      </c>
      <c r="B44" s="154"/>
      <c r="C44" s="154"/>
      <c r="D44" s="155"/>
      <c r="E44" s="155"/>
      <c r="F44" s="155"/>
      <c r="G44" s="156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7"/>
    </row>
    <row r="45" spans="1:24" hidden="1" x14ac:dyDescent="0.25">
      <c r="A45" s="17">
        <v>38</v>
      </c>
      <c r="B45" s="154"/>
      <c r="C45" s="154"/>
      <c r="D45" s="155"/>
      <c r="E45" s="155"/>
      <c r="F45" s="155"/>
      <c r="G45" s="156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7"/>
    </row>
    <row r="46" spans="1:24" hidden="1" x14ac:dyDescent="0.25">
      <c r="A46" s="17">
        <v>39</v>
      </c>
      <c r="B46" s="154"/>
      <c r="C46" s="154"/>
      <c r="D46" s="155"/>
      <c r="E46" s="155"/>
      <c r="F46" s="155"/>
      <c r="G46" s="156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7"/>
    </row>
    <row r="47" spans="1:24" hidden="1" x14ac:dyDescent="0.25">
      <c r="A47" s="17">
        <v>40</v>
      </c>
      <c r="B47" s="154"/>
      <c r="C47" s="154"/>
      <c r="D47" s="155"/>
      <c r="E47" s="155"/>
      <c r="F47" s="155"/>
      <c r="G47" s="156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5"/>
      <c r="X47" s="7"/>
    </row>
    <row r="48" spans="1:24" hidden="1" x14ac:dyDescent="0.25">
      <c r="A48" s="17">
        <v>41</v>
      </c>
      <c r="B48" s="154"/>
      <c r="C48" s="154"/>
      <c r="D48" s="155"/>
      <c r="E48" s="155"/>
      <c r="F48" s="155"/>
      <c r="G48" s="156"/>
      <c r="H48" s="155"/>
      <c r="I48" s="155"/>
      <c r="J48" s="155"/>
      <c r="K48" s="155"/>
      <c r="L48" s="155"/>
      <c r="M48" s="155"/>
      <c r="N48" s="155"/>
      <c r="O48" s="155"/>
      <c r="P48" s="155"/>
      <c r="Q48" s="155"/>
      <c r="R48" s="155"/>
      <c r="S48" s="155"/>
      <c r="T48" s="155"/>
      <c r="U48" s="155"/>
      <c r="V48" s="155"/>
      <c r="W48" s="155"/>
      <c r="X48" s="7"/>
    </row>
    <row r="49" spans="1:24" hidden="1" x14ac:dyDescent="0.25">
      <c r="A49" s="17">
        <v>42</v>
      </c>
      <c r="B49" s="154"/>
      <c r="C49" s="154"/>
      <c r="D49" s="155"/>
      <c r="E49" s="155"/>
      <c r="F49" s="155"/>
      <c r="G49" s="156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7"/>
    </row>
    <row r="50" spans="1:24" hidden="1" x14ac:dyDescent="0.25">
      <c r="A50" s="17">
        <v>43</v>
      </c>
      <c r="B50" s="154"/>
      <c r="C50" s="154"/>
      <c r="D50" s="155"/>
      <c r="E50" s="155"/>
      <c r="F50" s="155"/>
      <c r="G50" s="156"/>
      <c r="H50" s="155"/>
      <c r="I50" s="155"/>
      <c r="J50" s="155"/>
      <c r="K50" s="155"/>
      <c r="L50" s="155"/>
      <c r="M50" s="155"/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7"/>
    </row>
    <row r="51" spans="1:24" hidden="1" x14ac:dyDescent="0.25">
      <c r="A51" s="17">
        <v>44</v>
      </c>
      <c r="B51" s="154"/>
      <c r="C51" s="154"/>
      <c r="D51" s="155"/>
      <c r="E51" s="155"/>
      <c r="F51" s="155"/>
      <c r="G51" s="156"/>
      <c r="H51" s="155"/>
      <c r="I51" s="155"/>
      <c r="J51" s="155"/>
      <c r="K51" s="155"/>
      <c r="L51" s="155"/>
      <c r="M51" s="155"/>
      <c r="N51" s="155"/>
      <c r="O51" s="155"/>
      <c r="P51" s="155"/>
      <c r="Q51" s="155"/>
      <c r="R51" s="155"/>
      <c r="S51" s="155"/>
      <c r="T51" s="155"/>
      <c r="U51" s="155"/>
      <c r="V51" s="155"/>
      <c r="W51" s="155"/>
      <c r="X51" s="7"/>
    </row>
    <row r="52" spans="1:24" hidden="1" x14ac:dyDescent="0.25">
      <c r="A52" s="17">
        <v>45</v>
      </c>
      <c r="B52" s="154"/>
      <c r="C52" s="154"/>
      <c r="D52" s="155"/>
      <c r="E52" s="155"/>
      <c r="F52" s="155"/>
      <c r="G52" s="156"/>
      <c r="H52" s="155"/>
      <c r="I52" s="155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7"/>
    </row>
    <row r="53" spans="1:24" hidden="1" x14ac:dyDescent="0.25">
      <c r="A53" s="17">
        <v>46</v>
      </c>
      <c r="B53" s="154"/>
      <c r="C53" s="154"/>
      <c r="D53" s="155"/>
      <c r="E53" s="155"/>
      <c r="F53" s="155"/>
      <c r="G53" s="156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7"/>
    </row>
    <row r="54" spans="1:24" hidden="1" x14ac:dyDescent="0.25">
      <c r="A54" s="17">
        <v>47</v>
      </c>
      <c r="B54" s="154"/>
      <c r="C54" s="154"/>
      <c r="D54" s="155"/>
      <c r="E54" s="155"/>
      <c r="F54" s="155"/>
      <c r="G54" s="156"/>
      <c r="H54" s="155"/>
      <c r="I54" s="155"/>
      <c r="J54" s="155"/>
      <c r="K54" s="155"/>
      <c r="L54" s="155"/>
      <c r="M54" s="155"/>
      <c r="N54" s="155"/>
      <c r="O54" s="155"/>
      <c r="P54" s="155"/>
      <c r="Q54" s="155"/>
      <c r="R54" s="155"/>
      <c r="S54" s="155"/>
      <c r="T54" s="155"/>
      <c r="U54" s="155"/>
      <c r="V54" s="155"/>
      <c r="W54" s="155"/>
      <c r="X54" s="7"/>
    </row>
    <row r="55" spans="1:24" hidden="1" x14ac:dyDescent="0.25">
      <c r="A55" s="17">
        <v>48</v>
      </c>
      <c r="B55" s="154"/>
      <c r="C55" s="154"/>
      <c r="D55" s="155"/>
      <c r="E55" s="155"/>
      <c r="F55" s="155"/>
      <c r="G55" s="156"/>
      <c r="H55" s="155"/>
      <c r="I55" s="155"/>
      <c r="J55" s="155"/>
      <c r="K55" s="155"/>
      <c r="L55" s="155"/>
      <c r="M55" s="155"/>
      <c r="N55" s="155"/>
      <c r="O55" s="155"/>
      <c r="P55" s="155"/>
      <c r="Q55" s="155"/>
      <c r="R55" s="155"/>
      <c r="S55" s="155"/>
      <c r="T55" s="155"/>
      <c r="U55" s="155"/>
      <c r="V55" s="155"/>
      <c r="W55" s="155"/>
      <c r="X55" s="7"/>
    </row>
    <row r="56" spans="1:24" hidden="1" x14ac:dyDescent="0.25">
      <c r="A56" s="17">
        <v>49</v>
      </c>
      <c r="B56" s="154"/>
      <c r="C56" s="154"/>
      <c r="D56" s="155"/>
      <c r="E56" s="155"/>
      <c r="F56" s="155"/>
      <c r="G56" s="156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7"/>
    </row>
    <row r="57" spans="1:24" hidden="1" x14ac:dyDescent="0.25">
      <c r="A57" s="17">
        <v>50</v>
      </c>
      <c r="B57" s="154"/>
      <c r="C57" s="154"/>
      <c r="D57" s="155"/>
      <c r="E57" s="155"/>
      <c r="F57" s="155"/>
      <c r="G57" s="156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7"/>
    </row>
    <row r="58" spans="1:24" hidden="1" x14ac:dyDescent="0.25">
      <c r="A58" s="17">
        <v>51</v>
      </c>
      <c r="B58" s="154"/>
      <c r="C58" s="154"/>
      <c r="D58" s="155"/>
      <c r="E58" s="155"/>
      <c r="F58" s="155"/>
      <c r="G58" s="156"/>
      <c r="H58" s="155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5"/>
      <c r="U58" s="155"/>
      <c r="V58" s="155"/>
      <c r="W58" s="155"/>
      <c r="X58" s="7"/>
    </row>
    <row r="59" spans="1:24" hidden="1" x14ac:dyDescent="0.25">
      <c r="A59" s="17">
        <v>52</v>
      </c>
      <c r="B59" s="154"/>
      <c r="C59" s="154"/>
      <c r="D59" s="155"/>
      <c r="E59" s="155"/>
      <c r="F59" s="155"/>
      <c r="G59" s="156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/>
      <c r="S59" s="155"/>
      <c r="T59" s="155"/>
      <c r="U59" s="155"/>
      <c r="V59" s="155"/>
      <c r="W59" s="155"/>
      <c r="X59" s="7"/>
    </row>
    <row r="60" spans="1:24" hidden="1" x14ac:dyDescent="0.25">
      <c r="A60" s="17">
        <v>53</v>
      </c>
      <c r="B60" s="154"/>
      <c r="C60" s="154"/>
      <c r="D60" s="155"/>
      <c r="E60" s="155"/>
      <c r="F60" s="155"/>
      <c r="G60" s="156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/>
      <c r="S60" s="155"/>
      <c r="T60" s="155"/>
      <c r="U60" s="155"/>
      <c r="V60" s="155"/>
      <c r="W60" s="155"/>
      <c r="X60" s="7"/>
    </row>
    <row r="61" spans="1:24" hidden="1" x14ac:dyDescent="0.25">
      <c r="A61" s="17">
        <v>54</v>
      </c>
      <c r="B61" s="154"/>
      <c r="C61" s="154"/>
      <c r="D61" s="155"/>
      <c r="E61" s="155"/>
      <c r="F61" s="155"/>
      <c r="G61" s="156"/>
      <c r="H61" s="155"/>
      <c r="I61" s="155"/>
      <c r="J61" s="155"/>
      <c r="K61" s="155"/>
      <c r="L61" s="155"/>
      <c r="M61" s="155"/>
      <c r="N61" s="155"/>
      <c r="O61" s="155"/>
      <c r="P61" s="155"/>
      <c r="Q61" s="155"/>
      <c r="R61" s="155"/>
      <c r="S61" s="155"/>
      <c r="T61" s="155"/>
      <c r="U61" s="155"/>
      <c r="V61" s="155"/>
      <c r="W61" s="155"/>
      <c r="X61" s="7"/>
    </row>
    <row r="62" spans="1:24" hidden="1" x14ac:dyDescent="0.25">
      <c r="A62" s="17">
        <v>55</v>
      </c>
      <c r="B62" s="154"/>
      <c r="C62" s="154"/>
      <c r="D62" s="155"/>
      <c r="E62" s="155"/>
      <c r="F62" s="155"/>
      <c r="G62" s="156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7"/>
    </row>
    <row r="63" spans="1:24" hidden="1" x14ac:dyDescent="0.25">
      <c r="A63" s="17">
        <v>56</v>
      </c>
      <c r="B63" s="154"/>
      <c r="C63" s="154"/>
      <c r="D63" s="155"/>
      <c r="E63" s="155"/>
      <c r="F63" s="155"/>
      <c r="G63" s="156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  <c r="V63" s="155"/>
      <c r="W63" s="155"/>
      <c r="X63" s="7"/>
    </row>
    <row r="64" spans="1:24" hidden="1" x14ac:dyDescent="0.25">
      <c r="A64" s="17">
        <v>57</v>
      </c>
      <c r="B64" s="154"/>
      <c r="C64" s="154"/>
      <c r="D64" s="155"/>
      <c r="E64" s="155"/>
      <c r="F64" s="155"/>
      <c r="G64" s="156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5"/>
      <c r="S64" s="155"/>
      <c r="T64" s="155"/>
      <c r="U64" s="155"/>
      <c r="V64" s="155"/>
      <c r="W64" s="155"/>
      <c r="X64" s="7"/>
    </row>
    <row r="65" spans="1:24" hidden="1" x14ac:dyDescent="0.25">
      <c r="A65" s="17">
        <v>58</v>
      </c>
      <c r="B65" s="154"/>
      <c r="C65" s="154"/>
      <c r="D65" s="155"/>
      <c r="E65" s="155"/>
      <c r="F65" s="155"/>
      <c r="G65" s="156"/>
      <c r="H65" s="155"/>
      <c r="I65" s="155"/>
      <c r="J65" s="155"/>
      <c r="K65" s="155"/>
      <c r="L65" s="155"/>
      <c r="M65" s="155"/>
      <c r="N65" s="155"/>
      <c r="O65" s="155"/>
      <c r="P65" s="155"/>
      <c r="Q65" s="155"/>
      <c r="R65" s="155"/>
      <c r="S65" s="155"/>
      <c r="T65" s="155"/>
      <c r="U65" s="155"/>
      <c r="V65" s="155"/>
      <c r="W65" s="155"/>
      <c r="X65" s="7"/>
    </row>
    <row r="66" spans="1:24" hidden="1" x14ac:dyDescent="0.25">
      <c r="A66" s="17">
        <v>59</v>
      </c>
      <c r="B66" s="154"/>
      <c r="C66" s="154"/>
      <c r="D66" s="155"/>
      <c r="E66" s="155"/>
      <c r="F66" s="155"/>
      <c r="G66" s="156"/>
      <c r="H66" s="155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155"/>
      <c r="V66" s="155"/>
      <c r="W66" s="155"/>
      <c r="X66" s="7"/>
    </row>
    <row r="67" spans="1:24" hidden="1" x14ac:dyDescent="0.25">
      <c r="A67" s="17">
        <v>60</v>
      </c>
      <c r="B67" s="154"/>
      <c r="C67" s="154"/>
      <c r="D67" s="155"/>
      <c r="E67" s="155"/>
      <c r="F67" s="155"/>
      <c r="G67" s="156"/>
      <c r="H67" s="155"/>
      <c r="I67" s="155"/>
      <c r="J67" s="155"/>
      <c r="K67" s="155"/>
      <c r="L67" s="155"/>
      <c r="M67" s="155"/>
      <c r="N67" s="155"/>
      <c r="O67" s="155"/>
      <c r="P67" s="155"/>
      <c r="Q67" s="155"/>
      <c r="R67" s="155"/>
      <c r="S67" s="155"/>
      <c r="T67" s="155"/>
      <c r="U67" s="155"/>
      <c r="V67" s="155"/>
      <c r="W67" s="155"/>
      <c r="X67" s="7"/>
    </row>
    <row r="68" spans="1:24" x14ac:dyDescent="0.25">
      <c r="A68" s="38"/>
      <c r="B68" s="7"/>
      <c r="C68" s="7"/>
      <c r="D68" s="7"/>
      <c r="E68" s="7"/>
      <c r="F68" s="7"/>
      <c r="G68" s="39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</row>
    <row r="69" spans="1:24" x14ac:dyDescent="0.25">
      <c r="A69" s="38"/>
      <c r="B69" s="7"/>
      <c r="C69" s="7"/>
      <c r="D69" s="7"/>
      <c r="E69" s="7"/>
      <c r="F69" s="7"/>
      <c r="G69" s="39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</row>
    <row r="70" spans="1:24" x14ac:dyDescent="0.25">
      <c r="A70" s="38"/>
      <c r="B70" s="7"/>
      <c r="C70" s="7"/>
      <c r="D70" s="7"/>
      <c r="E70" s="7"/>
      <c r="F70" s="7"/>
      <c r="G70" s="39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</row>
  </sheetData>
  <sheetProtection sheet="1" objects="1" scenarios="1"/>
  <mergeCells count="5">
    <mergeCell ref="A6:K6"/>
    <mergeCell ref="L6:M6"/>
    <mergeCell ref="N6:O6"/>
    <mergeCell ref="P6:T6"/>
    <mergeCell ref="U6:W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MENU">
          <controlPr defaultSize="0" autoLine="0" r:id="rId4">
            <anchor moveWithCells="1">
              <from>
                <xdr:col>1</xdr:col>
                <xdr:colOff>0</xdr:colOff>
                <xdr:row>0</xdr:row>
                <xdr:rowOff>133350</xdr:rowOff>
              </from>
              <to>
                <xdr:col>2</xdr:col>
                <xdr:colOff>666750</xdr:colOff>
                <xdr:row>4</xdr:row>
                <xdr:rowOff>66675</xdr:rowOff>
              </to>
            </anchor>
          </controlPr>
        </control>
      </mc:Choice>
      <mc:Fallback>
        <control shapeId="3077" r:id="rId3" name="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253C-3916-43AF-8E6D-EF13DD4F352A}">
  <sheetPr codeName="Sheet27"/>
  <dimension ref="A1:AR38"/>
  <sheetViews>
    <sheetView view="pageBreakPreview" zoomScaleNormal="100" zoomScaleSheetLayoutView="100" workbookViewId="0">
      <selection activeCell="AQ9" sqref="AQ9"/>
    </sheetView>
  </sheetViews>
  <sheetFormatPr defaultColWidth="0" defaultRowHeight="15" zeroHeight="1" x14ac:dyDescent="0.25"/>
  <cols>
    <col min="1" max="2" width="9.140625" customWidth="1"/>
    <col min="3" max="3" width="7.140625" customWidth="1"/>
    <col min="4" max="4" width="5.140625" customWidth="1"/>
    <col min="5" max="38" width="3.5703125" customWidth="1"/>
    <col min="39" max="39" width="5.140625" customWidth="1"/>
    <col min="40" max="40" width="22.5703125" customWidth="1"/>
    <col min="41" max="41" width="2.85546875" customWidth="1"/>
    <col min="42" max="44" width="9.140625" customWidth="1"/>
    <col min="45" max="16384" width="9.140625" hidden="1"/>
  </cols>
  <sheetData>
    <row r="1" spans="3:44" ht="19.5" customHeight="1" x14ac:dyDescent="0.25"/>
    <row r="2" spans="3:44" ht="38.25" customHeight="1" x14ac:dyDescent="0.25"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P2" s="140">
        <v>1</v>
      </c>
    </row>
    <row r="3" spans="3:44" ht="20.25" x14ac:dyDescent="0.25">
      <c r="C3" s="211" t="str">
        <f>"PEMERINTAH "&amp;UPPER('Profil Sekolah'!D12)</f>
        <v>PEMERINTAH KABUPATEN SUKABUMI</v>
      </c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1"/>
      <c r="AR3" t="s">
        <v>474</v>
      </c>
    </row>
    <row r="4" spans="3:44" ht="20.25" x14ac:dyDescent="0.25">
      <c r="C4" s="211" t="str">
        <f>UPPER('Profil Sekolah'!D5)</f>
        <v>DINAS PENDIDIKAN</v>
      </c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211"/>
      <c r="AN4" s="211"/>
    </row>
    <row r="5" spans="3:44" ht="20.25" x14ac:dyDescent="0.25">
      <c r="C5" s="211" t="str">
        <f>"KOORDINATOR WILAYAH DIKPORA KECAMATAN "&amp;UPPER('Profil Sekolah'!D11)</f>
        <v>KOORDINATOR WILAYAH DIKPORA KECAMATAN CISAAT</v>
      </c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211"/>
      <c r="AG5" s="211"/>
      <c r="AH5" s="211"/>
      <c r="AI5" s="211"/>
      <c r="AJ5" s="211"/>
      <c r="AK5" s="211"/>
      <c r="AL5" s="211"/>
      <c r="AM5" s="211"/>
      <c r="AN5" s="211"/>
    </row>
    <row r="6" spans="3:44" ht="20.25" x14ac:dyDescent="0.25">
      <c r="C6" s="211" t="str">
        <f>UPPER('Profil Sekolah'!D6)</f>
        <v>SD NEGERI CICOHAG</v>
      </c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</row>
    <row r="7" spans="3:44" ht="15.75" x14ac:dyDescent="0.25">
      <c r="C7" s="210" t="str">
        <f>IF('Profil Sekolah'!D9=0,"",'Profil Sekolah'!D9)</f>
        <v>Jl. Siliwangi, No. 355</v>
      </c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D7" s="210"/>
      <c r="AE7" s="210"/>
      <c r="AF7" s="210"/>
      <c r="AG7" s="210"/>
      <c r="AH7" s="210"/>
      <c r="AI7" s="210"/>
      <c r="AJ7" s="210"/>
      <c r="AK7" s="210"/>
      <c r="AL7" s="210"/>
      <c r="AM7" s="210"/>
      <c r="AN7" s="210"/>
    </row>
    <row r="8" spans="3:44" ht="15.75" x14ac:dyDescent="0.25">
      <c r="C8" s="210" t="str">
        <f>"Tlp "&amp;'Profil Sekolah'!D15</f>
        <v>Tlp -</v>
      </c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D8" s="210"/>
      <c r="AE8" s="210"/>
      <c r="AF8" s="210"/>
      <c r="AG8" s="210"/>
      <c r="AH8" s="210"/>
      <c r="AI8" s="210"/>
      <c r="AJ8" s="210"/>
      <c r="AK8" s="210"/>
      <c r="AL8" s="210"/>
      <c r="AM8" s="210"/>
      <c r="AN8" s="210"/>
    </row>
    <row r="9" spans="3:44" x14ac:dyDescent="0.25"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</row>
    <row r="10" spans="3:44" x14ac:dyDescent="0.25">
      <c r="C10" s="205" t="s">
        <v>466</v>
      </c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5"/>
      <c r="AH10" s="205"/>
      <c r="AI10" s="205"/>
      <c r="AJ10" s="205"/>
      <c r="AK10" s="205"/>
      <c r="AL10" s="205"/>
      <c r="AM10" s="205"/>
      <c r="AN10" s="205"/>
    </row>
    <row r="11" spans="3:44" x14ac:dyDescent="0.25"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</row>
    <row r="12" spans="3:44" x14ac:dyDescent="0.25"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</row>
    <row r="13" spans="3:44" ht="22.5" x14ac:dyDescent="0.45">
      <c r="C13" s="206" t="s">
        <v>467</v>
      </c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  <c r="AD13" s="206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</row>
    <row r="14" spans="3:44" x14ac:dyDescent="0.25"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</row>
    <row r="15" spans="3:44" x14ac:dyDescent="0.25">
      <c r="C15" s="207" t="str">
        <f>IFERROR(UPPER(INDEX(REKAP!$B$9:$B$68,MATCH(AP2,REKAP!$U$9:$U$68,0))),"Peringkat tidak ditemukan")</f>
        <v>ABHY ARFA RIDHO HIBATULLAH</v>
      </c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G15" s="207"/>
      <c r="AH15" s="207"/>
      <c r="AI15" s="207"/>
      <c r="AJ15" s="207"/>
      <c r="AK15" s="207"/>
      <c r="AL15" s="207"/>
      <c r="AM15" s="207"/>
      <c r="AN15" s="207"/>
    </row>
    <row r="16" spans="3:44" x14ac:dyDescent="0.2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  <c r="AJ16" s="207"/>
      <c r="AK16" s="207"/>
      <c r="AL16" s="207"/>
      <c r="AM16" s="207"/>
      <c r="AN16" s="207"/>
    </row>
    <row r="17" spans="3:40" x14ac:dyDescent="0.25"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</row>
    <row r="18" spans="3:40" ht="22.5" x14ac:dyDescent="0.45">
      <c r="C18" s="206" t="s">
        <v>468</v>
      </c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</row>
    <row r="19" spans="3:40" x14ac:dyDescent="0.25">
      <c r="C19" s="208" t="str">
        <f>IFERROR(CHOOSE(AP2, "Peringkat Pertama", "Peringkat Kedua", "Peringkat Ketiga", "Peringkat Keempat", "Peringkat Kelima", "Peringkat Keenam", "Peringkat Ketujuh", "Peringkat Kedelapan", "Peringkat Kesembilan", "Peringkat Kesepuluh"), "")</f>
        <v>Peringkat Pertama</v>
      </c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  <c r="AA19" s="208"/>
      <c r="AB19" s="208"/>
      <c r="AC19" s="208"/>
      <c r="AD19" s="208"/>
      <c r="AE19" s="208"/>
      <c r="AF19" s="208"/>
      <c r="AG19" s="208"/>
      <c r="AH19" s="208"/>
      <c r="AI19" s="208"/>
      <c r="AJ19" s="208"/>
      <c r="AK19" s="208"/>
      <c r="AL19" s="208"/>
      <c r="AM19" s="208"/>
      <c r="AN19" s="208"/>
    </row>
    <row r="20" spans="3:40" x14ac:dyDescent="0.25"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</row>
    <row r="21" spans="3:40" x14ac:dyDescent="0.25"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</row>
    <row r="22" spans="3:40" ht="20.25" x14ac:dyDescent="0.3">
      <c r="C22" s="209" t="str">
        <f>IFERROR("Pada Kelas "&amp;'Profil Sekolah'!D20&amp;" Semester "&amp;'Profil Sekolah'!D19&amp;" Tahun Pelajaran "&amp;'Profil Sekolah'!D18&amp;"","")</f>
        <v>Pada Kelas V Semester II Tahun Pelajaran 2025/2026</v>
      </c>
      <c r="D22" s="209"/>
      <c r="E22" s="209"/>
      <c r="F22" s="209"/>
      <c r="G22" s="209"/>
      <c r="H22" s="209"/>
      <c r="I22" s="209"/>
      <c r="J22" s="209"/>
      <c r="K22" s="209"/>
      <c r="L22" s="209"/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</row>
    <row r="23" spans="3:40" ht="20.25" x14ac:dyDescent="0.3">
      <c r="C23" s="204" t="s">
        <v>469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</row>
    <row r="24" spans="3:40" ht="20.25" x14ac:dyDescent="0.3">
      <c r="C24" s="204" t="s">
        <v>470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</row>
    <row r="25" spans="3:40" ht="26.25" customHeight="1" x14ac:dyDescent="0.25"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</row>
    <row r="26" spans="3:40" ht="15.75" x14ac:dyDescent="0.25">
      <c r="C26" s="142"/>
      <c r="D26" s="142"/>
      <c r="E26" s="142"/>
      <c r="F26" s="142"/>
      <c r="G26" s="143" t="s">
        <v>471</v>
      </c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90"/>
      <c r="AC26" s="142"/>
      <c r="AD26" s="142"/>
      <c r="AE26" s="142"/>
      <c r="AF26" s="142"/>
      <c r="AG26" s="143" t="str">
        <f>'Profil Sekolah'!D27&amp;", "&amp;'Profil Sekolah'!D28</f>
        <v>Sukabumi, 26 Juni 2026</v>
      </c>
      <c r="AH26" s="142"/>
      <c r="AI26" s="90"/>
      <c r="AJ26" s="142"/>
      <c r="AK26" s="142"/>
      <c r="AL26" s="142"/>
      <c r="AM26" s="142"/>
      <c r="AN26" s="142"/>
    </row>
    <row r="27" spans="3:40" ht="18.75" x14ac:dyDescent="0.3">
      <c r="C27" s="142"/>
      <c r="D27" s="142"/>
      <c r="E27" s="142"/>
      <c r="F27" s="142"/>
      <c r="G27" s="144" t="s">
        <v>404</v>
      </c>
      <c r="H27" s="143"/>
      <c r="I27" s="143"/>
      <c r="J27" s="143"/>
      <c r="K27" s="143"/>
      <c r="L27" s="143"/>
      <c r="M27" s="143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90"/>
      <c r="AC27" s="142"/>
      <c r="AD27" s="143"/>
      <c r="AE27" s="143"/>
      <c r="AF27" s="143"/>
      <c r="AG27" s="145" t="s">
        <v>472</v>
      </c>
      <c r="AH27" s="142"/>
      <c r="AI27" s="90"/>
      <c r="AJ27" s="142"/>
      <c r="AK27" s="142"/>
      <c r="AL27" s="142"/>
      <c r="AM27" s="142"/>
      <c r="AN27" s="142"/>
    </row>
    <row r="28" spans="3:40" ht="18.75" x14ac:dyDescent="0.3">
      <c r="C28" s="142"/>
      <c r="D28" s="142"/>
      <c r="E28" s="142"/>
      <c r="F28" s="142"/>
      <c r="G28" s="144"/>
      <c r="H28" s="143"/>
      <c r="I28" s="143"/>
      <c r="J28" s="143"/>
      <c r="K28" s="143"/>
      <c r="L28" s="143"/>
      <c r="M28" s="143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90"/>
      <c r="AC28" s="142"/>
      <c r="AD28" s="143"/>
      <c r="AE28" s="143"/>
      <c r="AF28" s="143"/>
      <c r="AG28" s="144"/>
      <c r="AH28" s="142"/>
      <c r="AI28" s="90"/>
      <c r="AJ28" s="142"/>
      <c r="AK28" s="142"/>
      <c r="AL28" s="142"/>
      <c r="AM28" s="142"/>
      <c r="AN28" s="142"/>
    </row>
    <row r="29" spans="3:40" ht="18.75" x14ac:dyDescent="0.3">
      <c r="C29" s="142"/>
      <c r="D29" s="142"/>
      <c r="E29" s="142"/>
      <c r="F29" s="142"/>
      <c r="G29" s="144"/>
      <c r="H29" s="143"/>
      <c r="I29" s="143"/>
      <c r="J29" s="143"/>
      <c r="K29" s="143"/>
      <c r="L29" s="143"/>
      <c r="M29" s="143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90"/>
      <c r="AC29" s="142"/>
      <c r="AD29" s="143"/>
      <c r="AE29" s="143"/>
      <c r="AF29" s="143"/>
      <c r="AG29" s="144"/>
      <c r="AH29" s="142"/>
      <c r="AI29" s="90"/>
      <c r="AJ29" s="142"/>
      <c r="AK29" s="142"/>
      <c r="AL29" s="142"/>
      <c r="AM29" s="142"/>
      <c r="AN29" s="142"/>
    </row>
    <row r="30" spans="3:40" ht="18.75" hidden="1" x14ac:dyDescent="0.3">
      <c r="C30" s="142"/>
      <c r="D30" s="142"/>
      <c r="E30" s="142"/>
      <c r="F30" s="142"/>
      <c r="G30" s="144"/>
      <c r="H30" s="143"/>
      <c r="I30" s="143"/>
      <c r="J30" s="143"/>
      <c r="K30" s="143"/>
      <c r="L30" s="143"/>
      <c r="M30" s="143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90"/>
      <c r="AC30" s="142"/>
      <c r="AD30" s="143"/>
      <c r="AE30" s="143"/>
      <c r="AF30" s="143"/>
      <c r="AG30" s="144"/>
      <c r="AH30" s="142"/>
      <c r="AI30" s="90"/>
      <c r="AJ30" s="142"/>
      <c r="AK30" s="142"/>
      <c r="AL30" s="142"/>
      <c r="AM30" s="142"/>
      <c r="AN30" s="142"/>
    </row>
    <row r="31" spans="3:40" ht="18.75" x14ac:dyDescent="0.3">
      <c r="C31" s="142"/>
      <c r="D31" s="142"/>
      <c r="E31" s="142"/>
      <c r="F31" s="142"/>
      <c r="G31" s="144"/>
      <c r="H31" s="143"/>
      <c r="I31" s="143"/>
      <c r="J31" s="143"/>
      <c r="K31" s="143"/>
      <c r="L31" s="143"/>
      <c r="M31" s="143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90"/>
      <c r="AC31" s="142"/>
      <c r="AD31" s="143"/>
      <c r="AE31" s="143"/>
      <c r="AF31" s="143"/>
      <c r="AG31" s="144"/>
      <c r="AH31" s="142"/>
      <c r="AI31" s="90"/>
      <c r="AJ31" s="142"/>
      <c r="AK31" s="142"/>
      <c r="AL31" s="142"/>
      <c r="AM31" s="142"/>
      <c r="AN31" s="142"/>
    </row>
    <row r="32" spans="3:40" ht="18.75" x14ac:dyDescent="0.3">
      <c r="C32" s="142"/>
      <c r="D32" s="142"/>
      <c r="E32" s="142"/>
      <c r="F32" s="142"/>
      <c r="G32" s="146" t="str">
        <f>'Profil Sekolah'!D23</f>
        <v>Asep Agus Permana, S.Pd., SD.</v>
      </c>
      <c r="H32" s="143"/>
      <c r="I32" s="143"/>
      <c r="J32" s="143"/>
      <c r="K32" s="143"/>
      <c r="L32" s="143"/>
      <c r="M32" s="143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90"/>
      <c r="AC32" s="142"/>
      <c r="AD32" s="143"/>
      <c r="AE32" s="143"/>
      <c r="AF32" s="143"/>
      <c r="AG32" s="146" t="str">
        <f>'Profil Sekolah'!D25</f>
        <v>Adnan Abdillah, S.Pd.</v>
      </c>
      <c r="AH32" s="142"/>
      <c r="AI32" s="90"/>
      <c r="AJ32" s="142"/>
      <c r="AK32" s="142"/>
      <c r="AL32" s="142"/>
      <c r="AM32" s="142"/>
      <c r="AN32" s="142"/>
    </row>
    <row r="33" spans="3:40" ht="18.75" x14ac:dyDescent="0.25">
      <c r="C33" s="142"/>
      <c r="D33" s="142"/>
      <c r="E33" s="142"/>
      <c r="F33" s="142"/>
      <c r="G33" s="147" t="str">
        <f>"NIP "&amp;'Profil Sekolah'!D24</f>
        <v>NIP 196908272000121000</v>
      </c>
      <c r="H33" s="143"/>
      <c r="I33" s="143"/>
      <c r="J33" s="143"/>
      <c r="K33" s="143"/>
      <c r="L33" s="143"/>
      <c r="M33" s="143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90"/>
      <c r="AC33" s="142"/>
      <c r="AD33" s="143"/>
      <c r="AE33" s="143"/>
      <c r="AF33" s="143"/>
      <c r="AG33" s="147" t="str">
        <f>"NIP "&amp;'Profil Sekolah'!D26</f>
        <v>NIP -</v>
      </c>
      <c r="AH33" s="142"/>
      <c r="AI33" s="90"/>
      <c r="AJ33" s="142"/>
      <c r="AK33" s="142"/>
      <c r="AL33" s="142"/>
      <c r="AM33" s="142"/>
      <c r="AN33" s="142"/>
    </row>
    <row r="34" spans="3:40" x14ac:dyDescent="0.25"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</row>
    <row r="35" spans="3:40" ht="14.25" customHeight="1" x14ac:dyDescent="0.25"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</row>
    <row r="36" spans="3:40" x14ac:dyDescent="0.25"/>
    <row r="37" spans="3:40" x14ac:dyDescent="0.25"/>
    <row r="38" spans="3:40" x14ac:dyDescent="0.25"/>
  </sheetData>
  <mergeCells count="14">
    <mergeCell ref="C8:AN8"/>
    <mergeCell ref="C3:AN3"/>
    <mergeCell ref="C4:AN4"/>
    <mergeCell ref="C5:AN5"/>
    <mergeCell ref="C6:AN6"/>
    <mergeCell ref="C7:AN7"/>
    <mergeCell ref="C23:AN23"/>
    <mergeCell ref="C24:AN24"/>
    <mergeCell ref="C10:AN11"/>
    <mergeCell ref="C13:AN13"/>
    <mergeCell ref="C15:AN16"/>
    <mergeCell ref="C18:AN18"/>
    <mergeCell ref="C19:AN20"/>
    <mergeCell ref="C22:AN22"/>
  </mergeCells>
  <pageMargins left="0.7" right="0.7" top="0.75" bottom="0.75" header="0.3" footer="0.3"/>
  <pageSetup paperSize="9" scale="82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6321" r:id="rId4" name="CommandButton1">
          <controlPr defaultSize="0" autoLine="0" autoPict="0" r:id="rId5">
            <anchor moveWithCells="1">
              <from>
                <xdr:col>41</xdr:col>
                <xdr:colOff>0</xdr:colOff>
                <xdr:row>2</xdr:row>
                <xdr:rowOff>219075</xdr:rowOff>
              </from>
              <to>
                <xdr:col>42</xdr:col>
                <xdr:colOff>600075</xdr:colOff>
                <xdr:row>5</xdr:row>
                <xdr:rowOff>133350</xdr:rowOff>
              </to>
            </anchor>
          </controlPr>
        </control>
      </mc:Choice>
      <mc:Fallback>
        <control shapeId="56321" r:id="rId4" name="CommandButton1"/>
      </mc:Fallback>
    </mc:AlternateContent>
    <mc:AlternateContent xmlns:mc="http://schemas.openxmlformats.org/markup-compatibility/2006">
      <mc:Choice Requires="x14">
        <control shapeId="56322" r:id="rId6" name="SpinButton1">
          <controlPr defaultSize="0" autoLine="0" autoPict="0" r:id="rId7">
            <anchor moveWithCells="1">
              <from>
                <xdr:col>42</xdr:col>
                <xdr:colOff>76200</xdr:colOff>
                <xdr:row>0</xdr:row>
                <xdr:rowOff>228600</xdr:rowOff>
              </from>
              <to>
                <xdr:col>42</xdr:col>
                <xdr:colOff>457200</xdr:colOff>
                <xdr:row>2</xdr:row>
                <xdr:rowOff>76200</xdr:rowOff>
              </to>
            </anchor>
          </controlPr>
        </control>
      </mc:Choice>
      <mc:Fallback>
        <control shapeId="56322" r:id="rId6" name="Spin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0D2B-92F9-4813-8009-D867DC6F9A71}">
  <sheetPr codeName="Sheet29"/>
  <dimension ref="A1:AQ456"/>
  <sheetViews>
    <sheetView view="pageBreakPreview" zoomScaleNormal="85" zoomScaleSheetLayoutView="100" workbookViewId="0">
      <pane ySplit="1" topLeftCell="A51" activePane="bottomLeft" state="frozen"/>
      <selection pane="bottomLeft" activeCell="S60" sqref="S60"/>
    </sheetView>
  </sheetViews>
  <sheetFormatPr defaultColWidth="0" defaultRowHeight="15" zeroHeight="1" x14ac:dyDescent="0.25"/>
  <cols>
    <col min="1" max="1" width="16" style="15" customWidth="1"/>
    <col min="2" max="2" width="2.140625" style="90" customWidth="1"/>
    <col min="3" max="3" width="4" style="91" customWidth="1"/>
    <col min="4" max="16" width="2.85546875" style="91" customWidth="1"/>
    <col min="17" max="17" width="3.85546875" style="91" customWidth="1"/>
    <col min="18" max="18" width="1.5703125" style="91" customWidth="1"/>
    <col min="19" max="29" width="2.85546875" style="91" customWidth="1"/>
    <col min="30" max="30" width="2.42578125" style="91" customWidth="1"/>
    <col min="31" max="35" width="2.85546875" style="91" customWidth="1"/>
    <col min="36" max="36" width="1.7109375" style="90" customWidth="1"/>
    <col min="37" max="38" width="9.140625" style="87" customWidth="1"/>
    <col min="39" max="42" width="9.140625" style="87" hidden="1" customWidth="1"/>
    <col min="43" max="43" width="0" style="87" hidden="1" customWidth="1"/>
    <col min="44" max="16384" width="9.140625" hidden="1"/>
  </cols>
  <sheetData>
    <row r="1" spans="2:42" ht="31.5" customHeight="1" x14ac:dyDescent="0.25">
      <c r="B1" s="88"/>
      <c r="C1" s="89"/>
      <c r="D1" s="89"/>
      <c r="E1" s="89"/>
      <c r="F1" s="89"/>
      <c r="G1" s="89"/>
      <c r="H1" s="89"/>
      <c r="I1" s="89"/>
      <c r="J1" s="89"/>
      <c r="K1" s="89"/>
      <c r="L1" s="216" t="str">
        <f>UPPER(IFERROR(VLOOKUP(Y1,'Identitas Siswa'!A8:D67,4,FALSE),""))</f>
        <v>ABHY ARFA RIDHO HIBATULLAH</v>
      </c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21">
        <v>1</v>
      </c>
      <c r="Z1" s="221"/>
      <c r="AA1" s="89"/>
      <c r="AB1" s="89"/>
      <c r="AC1" s="89"/>
      <c r="AD1" s="89"/>
      <c r="AE1" s="89"/>
      <c r="AF1" s="89"/>
      <c r="AG1" s="89"/>
      <c r="AH1" s="89"/>
      <c r="AI1" s="89"/>
      <c r="AJ1" s="88"/>
      <c r="AK1" s="15"/>
      <c r="AL1" s="15"/>
      <c r="AM1" s="15"/>
      <c r="AN1" s="15"/>
      <c r="AO1" s="15"/>
      <c r="AP1" s="15"/>
    </row>
    <row r="2" spans="2:42" x14ac:dyDescent="0.25">
      <c r="B2" s="15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15"/>
      <c r="AK2" s="15"/>
      <c r="AL2" s="15"/>
      <c r="AM2" s="15"/>
      <c r="AN2" s="15"/>
      <c r="AO2" s="15"/>
      <c r="AP2" s="15"/>
    </row>
    <row r="3" spans="2:42" ht="21.75" customHeight="1" x14ac:dyDescent="0.25">
      <c r="C3" s="223" t="s">
        <v>381</v>
      </c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  <c r="AI3" s="223"/>
      <c r="AJ3" s="223"/>
      <c r="AK3" s="15"/>
      <c r="AL3" s="15"/>
      <c r="AM3" s="15"/>
      <c r="AN3" s="15"/>
      <c r="AO3" s="15"/>
      <c r="AP3" s="15"/>
    </row>
    <row r="4" spans="2:42" x14ac:dyDescent="0.25">
      <c r="AK4" s="15"/>
      <c r="AL4" s="15"/>
      <c r="AM4" s="15"/>
      <c r="AN4" s="15"/>
      <c r="AO4" s="15"/>
      <c r="AP4" s="15"/>
    </row>
    <row r="5" spans="2:42" ht="15.75" x14ac:dyDescent="0.25">
      <c r="C5" s="92" t="s">
        <v>382</v>
      </c>
      <c r="D5" s="92"/>
      <c r="E5" s="92"/>
      <c r="F5" s="92"/>
      <c r="G5" s="92"/>
      <c r="H5" s="92"/>
      <c r="I5" s="92"/>
      <c r="J5" s="93" t="s">
        <v>1</v>
      </c>
      <c r="K5" s="241" t="str">
        <f>UPPER(IFERROR(VLOOKUP(Y1, 'Identitas Siswa'!A8:D67, 4, FALSE), ""))</f>
        <v>ABHY ARFA RIDHO HIBATULLAH</v>
      </c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94"/>
      <c r="Y5" s="241" t="s">
        <v>383</v>
      </c>
      <c r="Z5" s="241"/>
      <c r="AA5" s="241"/>
      <c r="AB5" s="241"/>
      <c r="AC5" s="241"/>
      <c r="AD5" s="241"/>
      <c r="AE5" s="93" t="s">
        <v>1</v>
      </c>
      <c r="AF5" s="241" t="str">
        <f>'Profil Sekolah'!D20</f>
        <v>V</v>
      </c>
      <c r="AG5" s="241"/>
      <c r="AH5" s="241"/>
      <c r="AI5" s="241"/>
      <c r="AK5" s="15"/>
      <c r="AL5" s="15"/>
      <c r="AM5" s="15"/>
      <c r="AN5" s="15"/>
      <c r="AO5" s="15"/>
      <c r="AP5" s="15"/>
    </row>
    <row r="6" spans="2:42" ht="15.75" x14ac:dyDescent="0.25">
      <c r="C6" s="92" t="s">
        <v>384</v>
      </c>
      <c r="D6" s="92"/>
      <c r="E6" s="92"/>
      <c r="F6" s="92"/>
      <c r="G6" s="92"/>
      <c r="H6" s="92"/>
      <c r="I6" s="92"/>
      <c r="J6" s="93" t="s">
        <v>1</v>
      </c>
      <c r="K6" s="241" t="str">
        <f>_xlfn.LET(_xlpm.nisn, IFERROR(VLOOKUP(Y1, 'Identitas Siswa'!A8:D67, 2, FALSE), ""), _xlpm.nis, IFERROR(VLOOKUP(Y1, 'Identitas Siswa'!A8:D67, 3, FALSE), ""), _xlfn.TEXTJOIN(" / ", TRUE, IF(_xlpm.nisn=0,"",_xlpm.nisn), IF(_xlpm.nis=0,"",_xlpm.nis)))</f>
        <v>3149274777 / 202101001</v>
      </c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94"/>
      <c r="Y6" s="241" t="s">
        <v>385</v>
      </c>
      <c r="Z6" s="241"/>
      <c r="AA6" s="241"/>
      <c r="AB6" s="241"/>
      <c r="AC6" s="241"/>
      <c r="AD6" s="241"/>
      <c r="AE6" s="93" t="s">
        <v>1</v>
      </c>
      <c r="AF6" s="241" t="str">
        <f>'Profil Sekolah'!D21</f>
        <v>C</v>
      </c>
      <c r="AG6" s="241"/>
      <c r="AH6" s="241"/>
      <c r="AI6" s="241"/>
      <c r="AK6" s="15"/>
      <c r="AL6" s="15"/>
      <c r="AM6" s="15"/>
      <c r="AN6" s="15"/>
      <c r="AO6" s="15"/>
      <c r="AP6" s="15"/>
    </row>
    <row r="7" spans="2:42" ht="15.75" x14ac:dyDescent="0.25">
      <c r="C7" s="92" t="s">
        <v>386</v>
      </c>
      <c r="D7" s="92"/>
      <c r="E7" s="92"/>
      <c r="F7" s="92"/>
      <c r="G7" s="92"/>
      <c r="H7" s="92"/>
      <c r="I7" s="92"/>
      <c r="J7" s="93" t="s">
        <v>1</v>
      </c>
      <c r="K7" s="241" t="str">
        <f>UPPER('Profil Sekolah'!D6)</f>
        <v>SD NEGERI CICOHAG</v>
      </c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/>
      <c r="X7" s="94"/>
      <c r="Y7" s="241" t="s">
        <v>387</v>
      </c>
      <c r="Z7" s="241"/>
      <c r="AA7" s="241"/>
      <c r="AB7" s="241"/>
      <c r="AC7" s="241"/>
      <c r="AD7" s="241"/>
      <c r="AE7" s="93" t="s">
        <v>1</v>
      </c>
      <c r="AF7" s="241" t="str">
        <f>'Profil Sekolah'!D19</f>
        <v>II</v>
      </c>
      <c r="AG7" s="241"/>
      <c r="AH7" s="241"/>
      <c r="AI7" s="241"/>
      <c r="AK7" s="15"/>
      <c r="AL7" s="15"/>
      <c r="AM7" s="15"/>
      <c r="AN7" s="15"/>
      <c r="AO7" s="15"/>
      <c r="AP7" s="15"/>
    </row>
    <row r="8" spans="2:42" ht="15.75" customHeight="1" x14ac:dyDescent="0.25">
      <c r="C8" s="92" t="s">
        <v>388</v>
      </c>
      <c r="D8" s="92"/>
      <c r="E8" s="92"/>
      <c r="F8" s="92"/>
      <c r="G8" s="92"/>
      <c r="H8" s="92"/>
      <c r="I8" s="92"/>
      <c r="J8" s="93" t="s">
        <v>1</v>
      </c>
      <c r="K8" s="241" t="str">
        <f>'Profil Sekolah'!D9</f>
        <v>Jl. Siliwangi, No. 355</v>
      </c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94"/>
      <c r="Y8" s="241" t="s">
        <v>389</v>
      </c>
      <c r="Z8" s="241"/>
      <c r="AA8" s="241"/>
      <c r="AB8" s="241"/>
      <c r="AC8" s="241"/>
      <c r="AD8" s="241"/>
      <c r="AE8" s="93" t="s">
        <v>1</v>
      </c>
      <c r="AF8" s="92" t="str">
        <f>'Profil Sekolah'!D18</f>
        <v>2025/2026</v>
      </c>
      <c r="AG8" s="92"/>
      <c r="AH8" s="92"/>
      <c r="AI8" s="92"/>
      <c r="AK8" s="15"/>
      <c r="AL8" s="15"/>
      <c r="AM8" s="15"/>
      <c r="AN8" s="15"/>
      <c r="AO8" s="15"/>
      <c r="AP8" s="15"/>
    </row>
    <row r="9" spans="2:42" ht="15" customHeight="1" x14ac:dyDescent="0.25">
      <c r="AK9" s="15"/>
      <c r="AL9" s="15"/>
      <c r="AM9" s="15"/>
      <c r="AN9" s="15"/>
      <c r="AO9" s="15"/>
      <c r="AP9" s="15"/>
    </row>
    <row r="10" spans="2:42" ht="22.5" customHeight="1" x14ac:dyDescent="0.25">
      <c r="C10" s="95" t="s">
        <v>390</v>
      </c>
      <c r="D10" s="222" t="s">
        <v>391</v>
      </c>
      <c r="E10" s="222"/>
      <c r="F10" s="222"/>
      <c r="G10" s="222"/>
      <c r="H10" s="222"/>
      <c r="I10" s="222"/>
      <c r="J10" s="222"/>
      <c r="K10" s="222"/>
      <c r="L10" s="222"/>
      <c r="M10" s="222" t="s">
        <v>392</v>
      </c>
      <c r="N10" s="222"/>
      <c r="O10" s="222"/>
      <c r="P10" s="222"/>
      <c r="Q10" s="222" t="s">
        <v>393</v>
      </c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K10" s="15"/>
      <c r="AL10" s="15"/>
      <c r="AM10" s="15"/>
      <c r="AN10" s="15"/>
      <c r="AO10" s="15"/>
      <c r="AP10" s="15"/>
    </row>
    <row r="11" spans="2:42" ht="36.950000000000003" customHeight="1" x14ac:dyDescent="0.25">
      <c r="C11" s="240">
        <v>1</v>
      </c>
      <c r="D11" s="217" t="str">
        <f>'MAPEL &amp; BOBOT'!C5</f>
        <v>Pendidikan Agama dan Budi Pekerti</v>
      </c>
      <c r="E11" s="217"/>
      <c r="F11" s="217"/>
      <c r="G11" s="217"/>
      <c r="H11" s="217"/>
      <c r="I11" s="217"/>
      <c r="J11" s="217"/>
      <c r="K11" s="217"/>
      <c r="L11" s="217"/>
      <c r="M11" s="239">
        <f>IFERROR(VLOOKUP($Y$1,AGAMA!$A$9:$AN$68,40,FALSE),"")</f>
        <v>89</v>
      </c>
      <c r="N11" s="239"/>
      <c r="O11" s="239"/>
      <c r="P11" s="239"/>
      <c r="Q11" s="218" t="str">
        <f>IFERROR(VLOOKUP($Y$1,AGAMA!$A$9:$AT$68,45,FALSE),"")</f>
        <v>Abhy menunjukkan penguasaan dalam meyakini Surah al-Mā’ūn sebagai firman Allah dengan benar.</v>
      </c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K11" s="15"/>
      <c r="AL11" s="15"/>
      <c r="AM11" s="15"/>
      <c r="AN11" s="15"/>
      <c r="AO11" s="15"/>
      <c r="AP11" s="15"/>
    </row>
    <row r="12" spans="2:42" ht="36.950000000000003" customHeight="1" x14ac:dyDescent="0.25">
      <c r="C12" s="240"/>
      <c r="D12" s="217"/>
      <c r="E12" s="217"/>
      <c r="F12" s="217"/>
      <c r="G12" s="217"/>
      <c r="H12" s="217"/>
      <c r="I12" s="217"/>
      <c r="J12" s="217"/>
      <c r="K12" s="217"/>
      <c r="L12" s="217"/>
      <c r="M12" s="239"/>
      <c r="N12" s="239"/>
      <c r="O12" s="239"/>
      <c r="P12" s="239"/>
      <c r="Q12" s="218" t="str">
        <f>IFERROR(VLOOKUP($Y$1,AGAMA!$A$9:$AT$68,46,FALSE),"")</f>
        <v>Abhy perlu bimbingan dalam membiasakan perilaku terpuji sebagai bukti wujud implementasi dari  makna hidup indah saling menghargai.</v>
      </c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K12" s="15"/>
      <c r="AL12" s="15"/>
      <c r="AM12" s="15"/>
      <c r="AN12" s="15"/>
      <c r="AO12" s="15"/>
      <c r="AP12" s="15"/>
    </row>
    <row r="13" spans="2:42" ht="36.950000000000003" customHeight="1" x14ac:dyDescent="0.25">
      <c r="C13" s="240">
        <v>2</v>
      </c>
      <c r="D13" s="217" t="str">
        <f>'MAPEL &amp; BOBOT'!C6</f>
        <v>Pendidikan Pancasila</v>
      </c>
      <c r="E13" s="217"/>
      <c r="F13" s="217"/>
      <c r="G13" s="217"/>
      <c r="H13" s="217"/>
      <c r="I13" s="217"/>
      <c r="J13" s="217"/>
      <c r="K13" s="217"/>
      <c r="L13" s="217"/>
      <c r="M13" s="239">
        <f>IFERROR(VLOOKUP($Y$1,PANCASILA!$A$9:$AN$68,40,FALSE),"")</f>
        <v>90</v>
      </c>
      <c r="N13" s="239"/>
      <c r="O13" s="239"/>
      <c r="P13" s="239"/>
      <c r="Q13" s="218" t="str">
        <f>IFERROR(VLOOKUP($Y$1,PANCASILA!$A$9:$AT$68,45,FALSE),"")</f>
        <v>Abhy menunjukkan penguasaan dalam menceritakan perilaku yang sesuai dengan nilai-nilai Pancasila.</v>
      </c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K13" s="15"/>
      <c r="AL13" s="15"/>
      <c r="AM13" s="15"/>
      <c r="AN13" s="15"/>
      <c r="AO13" s="15"/>
      <c r="AP13" s="15"/>
    </row>
    <row r="14" spans="2:42" ht="36.950000000000003" customHeight="1" x14ac:dyDescent="0.25">
      <c r="C14" s="240"/>
      <c r="D14" s="217"/>
      <c r="E14" s="217"/>
      <c r="F14" s="217"/>
      <c r="G14" s="217"/>
      <c r="H14" s="217"/>
      <c r="I14" s="217"/>
      <c r="J14" s="217"/>
      <c r="K14" s="217"/>
      <c r="L14" s="217"/>
      <c r="M14" s="239"/>
      <c r="N14" s="239"/>
      <c r="O14" s="239"/>
      <c r="P14" s="239"/>
      <c r="Q14" s="218" t="str">
        <f>IFERROR(VLOOKUP($Y$1,PANCASILA!$A$9:$AT$68,46,FALSE),"")</f>
        <v>Abhy perlu bimbingan dalam menceritakan perilaku yang sesuai dengan nilai-nilai Pancasila.</v>
      </c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K14" s="15"/>
      <c r="AL14" s="15"/>
      <c r="AM14" s="15"/>
      <c r="AN14" s="15"/>
      <c r="AO14" s="15"/>
      <c r="AP14" s="15"/>
    </row>
    <row r="15" spans="2:42" ht="36.950000000000003" customHeight="1" x14ac:dyDescent="0.25">
      <c r="C15" s="240">
        <v>3</v>
      </c>
      <c r="D15" s="217" t="str">
        <f>'MAPEL &amp; BOBOT'!C7</f>
        <v>Bahasa Indonesia</v>
      </c>
      <c r="E15" s="217"/>
      <c r="F15" s="217"/>
      <c r="G15" s="217"/>
      <c r="H15" s="217"/>
      <c r="I15" s="217"/>
      <c r="J15" s="217"/>
      <c r="K15" s="217"/>
      <c r="L15" s="217"/>
      <c r="M15" s="239">
        <f>IFERROR(VLOOKUP($Y$1,INDONESIA!$A$9:$AN$68,40,FALSE),"")</f>
        <v>90</v>
      </c>
      <c r="N15" s="239"/>
      <c r="O15" s="239"/>
      <c r="P15" s="239"/>
      <c r="Q15" s="218" t="str">
        <f>IFERROR(VLOOKUP($Y$1,INDONESIA!$A$9:$AT$68,45,FALSE),"")</f>
        <v>Abhy menunjukkan penguasaan dalam memperkenalkan diri di depan kelas.</v>
      </c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K15" s="15"/>
      <c r="AL15" s="15"/>
      <c r="AM15" s="15"/>
      <c r="AN15" s="15"/>
      <c r="AO15" s="15"/>
      <c r="AP15" s="15"/>
    </row>
    <row r="16" spans="2:42" ht="36.950000000000003" customHeight="1" x14ac:dyDescent="0.25">
      <c r="C16" s="240"/>
      <c r="D16" s="217"/>
      <c r="E16" s="217"/>
      <c r="F16" s="217"/>
      <c r="G16" s="217"/>
      <c r="H16" s="217"/>
      <c r="I16" s="217"/>
      <c r="J16" s="217"/>
      <c r="K16" s="217"/>
      <c r="L16" s="217"/>
      <c r="M16" s="239"/>
      <c r="N16" s="239"/>
      <c r="O16" s="239"/>
      <c r="P16" s="239"/>
      <c r="Q16" s="218" t="str">
        <f>IFERROR(VLOOKUP($Y$1,INDONESIA!$A$9:$AT$68,46,FALSE),"")</f>
        <v>Abhy perlu bimbingan dalam memperkenalkan diri di depan kelas.</v>
      </c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K16" s="15"/>
      <c r="AL16" s="15"/>
      <c r="AM16" s="15"/>
      <c r="AN16" s="15"/>
      <c r="AO16" s="15"/>
      <c r="AP16" s="15"/>
    </row>
    <row r="17" spans="3:42" ht="36.950000000000003" customHeight="1" x14ac:dyDescent="0.25">
      <c r="C17" s="240">
        <v>4</v>
      </c>
      <c r="D17" s="217" t="str">
        <f>'MAPEL &amp; BOBOT'!C8</f>
        <v>Matematika</v>
      </c>
      <c r="E17" s="217"/>
      <c r="F17" s="217"/>
      <c r="G17" s="217"/>
      <c r="H17" s="217"/>
      <c r="I17" s="217"/>
      <c r="J17" s="217"/>
      <c r="K17" s="217"/>
      <c r="L17" s="217"/>
      <c r="M17" s="239">
        <f>IFERROR(VLOOKUP($Y$1,MATEMATIKA!$A$9:$AN$68,40,FALSE),"")</f>
        <v>90</v>
      </c>
      <c r="N17" s="239"/>
      <c r="O17" s="239"/>
      <c r="P17" s="239"/>
      <c r="Q17" s="218" t="str">
        <f>IFERROR(VLOOKUP($Y$1,MATEMATIKA!$A$9:$AT$68,45,FALSE),"")</f>
        <v>Abhy menunjukkan penguasaan dalam memperdalam pemahaman tentang bilangan bulat dan desimal melalui nilai tempat.</v>
      </c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K17" s="15"/>
      <c r="AL17" s="15"/>
      <c r="AM17" s="15"/>
      <c r="AN17" s="15"/>
      <c r="AO17" s="15"/>
      <c r="AP17" s="15"/>
    </row>
    <row r="18" spans="3:42" ht="36.950000000000003" customHeight="1" x14ac:dyDescent="0.25">
      <c r="C18" s="240"/>
      <c r="D18" s="217"/>
      <c r="E18" s="217"/>
      <c r="F18" s="217"/>
      <c r="G18" s="217"/>
      <c r="H18" s="217"/>
      <c r="I18" s="217"/>
      <c r="J18" s="217"/>
      <c r="K18" s="217"/>
      <c r="L18" s="217"/>
      <c r="M18" s="239"/>
      <c r="N18" s="239"/>
      <c r="O18" s="239"/>
      <c r="P18" s="239"/>
      <c r="Q18" s="218" t="str">
        <f>IFERROR(VLOOKUP($Y$1,MATEMATIKA!$A$9:$AT$68,46,FALSE),"")</f>
        <v>Abhy perlu bimbingan dalam memperdalam pemahaman tentang bilangan bulat dan desimal melalui nilai tempat.</v>
      </c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K18" s="15"/>
      <c r="AL18" s="15"/>
      <c r="AM18" s="15"/>
      <c r="AN18" s="15"/>
      <c r="AO18" s="15"/>
      <c r="AP18" s="15"/>
    </row>
    <row r="19" spans="3:42" ht="36.950000000000003" customHeight="1" x14ac:dyDescent="0.25">
      <c r="C19" s="240">
        <v>5</v>
      </c>
      <c r="D19" s="217" t="str">
        <f>'MAPEL &amp; BOBOT'!C9</f>
        <v>Ilmu Pengetahuan Alam dan Sosial</v>
      </c>
      <c r="E19" s="217"/>
      <c r="F19" s="217"/>
      <c r="G19" s="217"/>
      <c r="H19" s="217"/>
      <c r="I19" s="217"/>
      <c r="J19" s="217"/>
      <c r="K19" s="217"/>
      <c r="L19" s="217"/>
      <c r="M19" s="239">
        <f>IFERROR(VLOOKUP($Y$1,IPAS!$A$9:$AN$68,40,FALSE),"")</f>
        <v>90</v>
      </c>
      <c r="N19" s="239"/>
      <c r="O19" s="239"/>
      <c r="P19" s="239"/>
      <c r="Q19" s="218" t="str">
        <f>IFERROR(VLOOKUP($Y$1,IPAS!$A$9:$AT$68,45,FALSE),"")</f>
        <v>Abhy menunjukkan penguasaan dalam mengetahui struktur lapisan Bumi (litosfer, hidrosfer, dan atmosfer) dan kenampakan alam.</v>
      </c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K19" s="15"/>
      <c r="AL19" s="15"/>
      <c r="AM19" s="15"/>
      <c r="AN19" s="15"/>
      <c r="AO19" s="15"/>
      <c r="AP19" s="15"/>
    </row>
    <row r="20" spans="3:42" ht="36.950000000000003" customHeight="1" x14ac:dyDescent="0.25">
      <c r="C20" s="240"/>
      <c r="D20" s="217"/>
      <c r="E20" s="217"/>
      <c r="F20" s="217"/>
      <c r="G20" s="217"/>
      <c r="H20" s="217"/>
      <c r="I20" s="217"/>
      <c r="J20" s="217"/>
      <c r="K20" s="217"/>
      <c r="L20" s="217"/>
      <c r="M20" s="239"/>
      <c r="N20" s="239"/>
      <c r="O20" s="239"/>
      <c r="P20" s="239"/>
      <c r="Q20" s="218" t="str">
        <f>IFERROR(VLOOKUP($Y$1,IPAS!$A$9:$AT$68,46,FALSE),"")</f>
        <v>Abhy perlu bimbingan dalam mengetahui struktur lapisan Bumi (litosfer, hidrosfer, dan atmosfer) dan kenampakan alam.</v>
      </c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K20" s="15"/>
      <c r="AL20" s="15"/>
      <c r="AM20" s="15"/>
      <c r="AN20" s="15"/>
      <c r="AO20" s="15"/>
      <c r="AP20" s="104"/>
    </row>
    <row r="21" spans="3:42" ht="17.25" customHeight="1" x14ac:dyDescent="0.25">
      <c r="C21" s="240">
        <v>6</v>
      </c>
      <c r="D21" s="220" t="s">
        <v>394</v>
      </c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K21" s="15"/>
      <c r="AL21" s="15"/>
      <c r="AM21" s="15"/>
      <c r="AN21" s="15"/>
      <c r="AO21" s="15"/>
      <c r="AP21" s="104">
        <v>1</v>
      </c>
    </row>
    <row r="22" spans="3:42" ht="36.950000000000003" customHeight="1" x14ac:dyDescent="0.25">
      <c r="C22" s="240"/>
      <c r="D22" s="217" t="str">
        <f>'MAPEL &amp; BOBOT'!D11</f>
        <v>Seni Musik</v>
      </c>
      <c r="E22" s="217"/>
      <c r="F22" s="217"/>
      <c r="G22" s="217"/>
      <c r="H22" s="217"/>
      <c r="I22" s="217"/>
      <c r="J22" s="217"/>
      <c r="K22" s="217"/>
      <c r="L22" s="217"/>
      <c r="M22" s="239">
        <f ca="1">IF(D22="","",IFERROR(VLOOKUP($Y$1,INDIRECT(UPPER(SUBSTITUTE(D22,"Seni ",""))&amp;"!$A$9:$AN$68"),40,FALSE),""))</f>
        <v>90</v>
      </c>
      <c r="N22" s="239"/>
      <c r="O22" s="239"/>
      <c r="P22" s="239"/>
      <c r="Q22" s="218" t="str">
        <f ca="1">IF(D22="","",IFERROR(VLOOKUP($Y$1,INDIRECT(UPPER(SUBSTITUTE(D22,"Seni ",""))&amp;"!$A$9:$AT$68"),45,FALSE),""))</f>
        <v>Abhy menunjukkan penguasaan dalam mengenal dan membedakan jenis-jenis range pada suara manusia.</v>
      </c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K22" s="15"/>
      <c r="AL22" s="15"/>
      <c r="AM22" s="15"/>
      <c r="AN22" s="15"/>
      <c r="AO22" s="15"/>
      <c r="AP22" s="104">
        <v>1</v>
      </c>
    </row>
    <row r="23" spans="3:42" ht="36.950000000000003" customHeight="1" x14ac:dyDescent="0.25">
      <c r="C23" s="240"/>
      <c r="D23" s="217"/>
      <c r="E23" s="217"/>
      <c r="F23" s="217"/>
      <c r="G23" s="217"/>
      <c r="H23" s="217"/>
      <c r="I23" s="217"/>
      <c r="J23" s="217"/>
      <c r="K23" s="217"/>
      <c r="L23" s="217"/>
      <c r="M23" s="239"/>
      <c r="N23" s="239"/>
      <c r="O23" s="239"/>
      <c r="P23" s="239"/>
      <c r="Q23" s="218" t="str">
        <f ca="1">IF(D22="","",IFERROR(VLOOKUP($Y$1,INDIRECT(UPPER(SUBSTITUTE(D22,"Seni ",""))&amp;"!$A$9:$AT$68"),46,FALSE),""))</f>
        <v>Abhy perlu bimbingan dalam mengenal dan membedakan jenis-jenis range pada suara manusia.</v>
      </c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K23" s="15"/>
      <c r="AL23" s="15"/>
      <c r="AM23" s="15"/>
      <c r="AN23" s="15"/>
      <c r="AO23" s="15"/>
      <c r="AP23" s="104">
        <v>2</v>
      </c>
    </row>
    <row r="24" spans="3:42" ht="36.950000000000003" hidden="1" customHeight="1" x14ac:dyDescent="0.25">
      <c r="C24" s="240"/>
      <c r="D24" s="217" t="str">
        <f>IF('MAPEL &amp; BOBOT'!D12="","Seni tidak dipilih, sembunyikan baris ini",'MAPEL &amp; BOBOT'!D12)</f>
        <v>Seni Tari</v>
      </c>
      <c r="E24" s="217"/>
      <c r="F24" s="217"/>
      <c r="G24" s="217"/>
      <c r="H24" s="217"/>
      <c r="I24" s="217"/>
      <c r="J24" s="217"/>
      <c r="K24" s="217"/>
      <c r="L24" s="217"/>
      <c r="M24" s="219">
        <f ca="1">IF(D22="","",IFERROR(VLOOKUP($Y$1,INDIRECT(UPPER(SUBSTITUTE(D24,"Seni ",""))&amp;"!$A$9:$AT$68"),40,FALSE),""))</f>
        <v>90</v>
      </c>
      <c r="N24" s="219"/>
      <c r="O24" s="219"/>
      <c r="P24" s="219"/>
      <c r="Q24" s="218" t="str">
        <f ca="1">IF(D22="","",IFERROR(VLOOKUP($Y$1,INDIRECT(UPPER(SUBSTITUTE(D24,"Seni ",""))&amp;"!$A$9:$AT$68"),45,FALSE),""))</f>
        <v>Abhy menunjukkan penguasaan dalam membedakan fungsi unsur pendukung tari yaitu, musik, properti, tata rias, dan tata busana.</v>
      </c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K24" s="15"/>
      <c r="AL24" s="15"/>
      <c r="AM24" s="15"/>
      <c r="AN24" s="15"/>
      <c r="AO24" s="15"/>
      <c r="AP24" s="104">
        <v>3</v>
      </c>
    </row>
    <row r="25" spans="3:42" ht="36.950000000000003" hidden="1" customHeight="1" x14ac:dyDescent="0.25">
      <c r="C25" s="240"/>
      <c r="D25" s="217"/>
      <c r="E25" s="217"/>
      <c r="F25" s="217"/>
      <c r="G25" s="217"/>
      <c r="H25" s="217"/>
      <c r="I25" s="217"/>
      <c r="J25" s="217"/>
      <c r="K25" s="217"/>
      <c r="L25" s="217"/>
      <c r="M25" s="219"/>
      <c r="N25" s="219"/>
      <c r="O25" s="219"/>
      <c r="P25" s="219"/>
      <c r="Q25" s="218" t="str">
        <f ca="1">IF(D22="","",IFERROR(VLOOKUP($Y$1,INDIRECT(UPPER(SUBSTITUTE(D24,"Seni ",""))&amp;"!$A$9:$AT$68"),46,FALSE),""))</f>
        <v>Abhy perlu bimbingan dalam membedakan fungsi unsur pendukung tari yaitu, musik, properti, tata rias, dan tata busana.</v>
      </c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K25" s="15"/>
      <c r="AL25" s="15"/>
      <c r="AM25" s="15"/>
      <c r="AN25" s="15"/>
      <c r="AO25" s="15"/>
      <c r="AP25" s="104">
        <v>4</v>
      </c>
    </row>
    <row r="26" spans="3:42" ht="15.75" customHeight="1" x14ac:dyDescent="0.25">
      <c r="C26" s="96"/>
      <c r="AK26" s="15"/>
      <c r="AL26" s="15"/>
      <c r="AM26" s="15"/>
      <c r="AN26" s="15"/>
      <c r="AO26" s="15"/>
      <c r="AP26" s="15"/>
    </row>
    <row r="27" spans="3:42" ht="15" customHeight="1" x14ac:dyDescent="0.25">
      <c r="AK27" s="15"/>
      <c r="AL27" s="15"/>
      <c r="AM27" s="15"/>
      <c r="AN27" s="15"/>
      <c r="AO27" s="15"/>
      <c r="AP27" s="15"/>
    </row>
    <row r="28" spans="3:42" x14ac:dyDescent="0.25">
      <c r="C28" s="95" t="s">
        <v>390</v>
      </c>
      <c r="D28" s="222" t="s">
        <v>391</v>
      </c>
      <c r="E28" s="222"/>
      <c r="F28" s="222"/>
      <c r="G28" s="222"/>
      <c r="H28" s="222"/>
      <c r="I28" s="222"/>
      <c r="J28" s="222"/>
      <c r="K28" s="222"/>
      <c r="L28" s="222"/>
      <c r="M28" s="222" t="s">
        <v>392</v>
      </c>
      <c r="N28" s="222"/>
      <c r="O28" s="222"/>
      <c r="P28" s="222"/>
      <c r="Q28" s="222" t="s">
        <v>393</v>
      </c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K28" s="15"/>
      <c r="AL28" s="15"/>
      <c r="AM28" s="15"/>
      <c r="AN28" s="15"/>
      <c r="AO28" s="15"/>
      <c r="AP28" s="15"/>
    </row>
    <row r="29" spans="3:42" ht="36.950000000000003" hidden="1" customHeight="1" x14ac:dyDescent="0.25">
      <c r="C29" s="240">
        <v>6</v>
      </c>
      <c r="D29" s="217" t="str">
        <f>IF('MAPEL &amp; BOBOT'!D13="","Seni tidak dipilih, sembunyikan baris ini",'MAPEL &amp; BOBOT'!D13)</f>
        <v>Seni Rupa</v>
      </c>
      <c r="E29" s="217"/>
      <c r="F29" s="217"/>
      <c r="G29" s="217"/>
      <c r="H29" s="217"/>
      <c r="I29" s="217"/>
      <c r="J29" s="217"/>
      <c r="K29" s="217"/>
      <c r="L29" s="217"/>
      <c r="M29" s="219">
        <f ca="1">IF(D22="","",IFERROR(VLOOKUP($Y$1,INDIRECT(UPPER(SUBSTITUTE(D29,"Seni ",""))&amp;"!$A$9:$AT$68"),40,FALSE),""))</f>
        <v>90</v>
      </c>
      <c r="N29" s="219"/>
      <c r="O29" s="219"/>
      <c r="P29" s="219"/>
      <c r="Q29" s="218" t="str">
        <f ca="1">IF(D22="","",IFERROR(VLOOKUP($Y$1,INDIRECT(UPPER(SUBSTITUTE(D29,"Seni ",""))&amp;"!$A$9:$AT$68"),45,FALSE),""))</f>
        <v>Abhy menunjukkan penguasaan dalam menemukan minimal tiga unsur seni rupa yang terdapat dalam objek di lingkungan.</v>
      </c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K29" s="15"/>
      <c r="AL29" s="15"/>
      <c r="AM29" s="15"/>
      <c r="AN29" s="15"/>
      <c r="AO29" s="15"/>
      <c r="AP29" s="15"/>
    </row>
    <row r="30" spans="3:42" ht="36.950000000000003" hidden="1" customHeight="1" x14ac:dyDescent="0.25">
      <c r="C30" s="240"/>
      <c r="D30" s="217"/>
      <c r="E30" s="217"/>
      <c r="F30" s="217"/>
      <c r="G30" s="217"/>
      <c r="H30" s="217"/>
      <c r="I30" s="217"/>
      <c r="J30" s="217"/>
      <c r="K30" s="217"/>
      <c r="L30" s="217"/>
      <c r="M30" s="219"/>
      <c r="N30" s="219"/>
      <c r="O30" s="219"/>
      <c r="P30" s="219"/>
      <c r="Q30" s="218" t="str">
        <f ca="1">IF(D22="","",IFERROR(VLOOKUP($Y$1,INDIRECT(UPPER(SUBSTITUTE(D29,"Seni ",""))&amp;"!$A$9:$AT$68"),46,FALSE),""))</f>
        <v>Abhy perlu bimbingan dalam menemukan minimal tiga unsur seni rupa yang terdapat dalam objek di lingkungan.</v>
      </c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K30" s="15"/>
      <c r="AL30" s="15"/>
      <c r="AM30" s="15"/>
      <c r="AN30" s="15"/>
      <c r="AO30" s="15"/>
      <c r="AP30" s="15"/>
    </row>
    <row r="31" spans="3:42" ht="36.950000000000003" hidden="1" customHeight="1" x14ac:dyDescent="0.25">
      <c r="C31" s="240"/>
      <c r="D31" s="217" t="str">
        <f>IF('MAPEL &amp; BOBOT'!D14="","Seni tidak dipilih, sembunyikan baris ini",'MAPEL &amp; BOBOT'!D14)</f>
        <v>Seni Teater</v>
      </c>
      <c r="E31" s="217"/>
      <c r="F31" s="217"/>
      <c r="G31" s="217"/>
      <c r="H31" s="217"/>
      <c r="I31" s="217"/>
      <c r="J31" s="217"/>
      <c r="K31" s="217"/>
      <c r="L31" s="217"/>
      <c r="M31" s="219">
        <f ca="1">IF(D22="","",IFERROR(VLOOKUP($Y$1,INDIRECT(UPPER(SUBSTITUTE(D31,"Seni ",""))&amp;"!$A$9:$AT$68"),40,FALSE),""))</f>
        <v>90</v>
      </c>
      <c r="N31" s="219"/>
      <c r="O31" s="219"/>
      <c r="P31" s="219"/>
      <c r="Q31" s="218" t="str">
        <f ca="1">IF(D22="","",IFERROR(VLOOKUP($Y$1,INDIRECT(UPPER(SUBSTITUTE(D31,"Seni ",""))&amp;"!$A$9:$AT$68"),45,FALSE),""))</f>
        <v>Abhy menunjukkan penguasaan dalam mengembangkan gerak tubuh berdasar pada aturan dan instruksi sederhana.</v>
      </c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K31" s="15"/>
      <c r="AL31" s="15"/>
      <c r="AM31" s="15"/>
      <c r="AN31" s="15"/>
      <c r="AO31" s="15"/>
      <c r="AP31" s="15"/>
    </row>
    <row r="32" spans="3:42" ht="36.950000000000003" hidden="1" customHeight="1" x14ac:dyDescent="0.25">
      <c r="C32" s="240"/>
      <c r="D32" s="217"/>
      <c r="E32" s="217"/>
      <c r="F32" s="217"/>
      <c r="G32" s="217"/>
      <c r="H32" s="217"/>
      <c r="I32" s="217"/>
      <c r="J32" s="217"/>
      <c r="K32" s="217"/>
      <c r="L32" s="217"/>
      <c r="M32" s="219"/>
      <c r="N32" s="219"/>
      <c r="O32" s="219"/>
      <c r="P32" s="219"/>
      <c r="Q32" s="218" t="str">
        <f ca="1">IF(D22="","",IFERROR(VLOOKUP($Y$1,INDIRECT(UPPER(SUBSTITUTE(D31,"Seni ",""))&amp;"!$A$9:$AT$68"),46,FALSE),""))</f>
        <v>Abhy perlu bimbingan dalam mengembangkan gerak tubuh berdasar pada aturan dan instruksi sederhana.</v>
      </c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K32" s="15"/>
      <c r="AL32" s="15"/>
      <c r="AM32" s="15"/>
      <c r="AN32" s="15"/>
      <c r="AO32" s="15"/>
      <c r="AP32" s="15"/>
    </row>
    <row r="33" spans="3:42" ht="36.950000000000003" customHeight="1" x14ac:dyDescent="0.25">
      <c r="C33" s="240">
        <v>7</v>
      </c>
      <c r="D33" s="217" t="str">
        <f>'MAPEL &amp; BOBOT'!C15</f>
        <v>Pendidikan Jasmani, Olahraga, dan Kesehatan</v>
      </c>
      <c r="E33" s="217"/>
      <c r="F33" s="217"/>
      <c r="G33" s="217"/>
      <c r="H33" s="217"/>
      <c r="I33" s="217"/>
      <c r="J33" s="217"/>
      <c r="K33" s="217"/>
      <c r="L33" s="217"/>
      <c r="M33" s="239">
        <f>IFERROR(VLOOKUP($Y$1,PJOK!$A$9:$AN$68,40,FALSE),"")</f>
        <v>90</v>
      </c>
      <c r="N33" s="239"/>
      <c r="O33" s="239"/>
      <c r="P33" s="239"/>
      <c r="Q33" s="218" t="str">
        <f>IFERROR(VLOOKUP($Y$1,PJOK!$A$9:$AT$68,45,FALSE),"")</f>
        <v>Abhy menunjukkan penguasaan dalam memahami kombinasi gerak dalam permainan bola besar.</v>
      </c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K33" s="15"/>
      <c r="AL33" s="15"/>
      <c r="AM33" s="15"/>
      <c r="AN33" s="15"/>
      <c r="AO33" s="15"/>
      <c r="AP33" s="15"/>
    </row>
    <row r="34" spans="3:42" ht="36.950000000000003" customHeight="1" x14ac:dyDescent="0.25">
      <c r="C34" s="240"/>
      <c r="D34" s="217"/>
      <c r="E34" s="217"/>
      <c r="F34" s="217"/>
      <c r="G34" s="217"/>
      <c r="H34" s="217"/>
      <c r="I34" s="217"/>
      <c r="J34" s="217"/>
      <c r="K34" s="217"/>
      <c r="L34" s="217"/>
      <c r="M34" s="239"/>
      <c r="N34" s="239"/>
      <c r="O34" s="239"/>
      <c r="P34" s="239"/>
      <c r="Q34" s="218" t="str">
        <f>IFERROR(VLOOKUP($Y$1,PJOK!$A$9:$AT$68,46,FALSE),"")</f>
        <v>Abhy perlu bimbingan dalam memahami kombinasi gerak dalam permainan bola besar.</v>
      </c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K34" s="15"/>
      <c r="AL34" s="15"/>
      <c r="AM34" s="15"/>
      <c r="AN34" s="15"/>
      <c r="AO34" s="15"/>
      <c r="AP34" s="15"/>
    </row>
    <row r="35" spans="3:42" ht="36.950000000000003" customHeight="1" x14ac:dyDescent="0.25">
      <c r="C35" s="240">
        <v>8</v>
      </c>
      <c r="D35" s="217" t="str">
        <f>'MAPEL &amp; BOBOT'!C16</f>
        <v>Bahasa inggris</v>
      </c>
      <c r="E35" s="217"/>
      <c r="F35" s="217"/>
      <c r="G35" s="217"/>
      <c r="H35" s="217"/>
      <c r="I35" s="217"/>
      <c r="J35" s="217"/>
      <c r="K35" s="217"/>
      <c r="L35" s="217"/>
      <c r="M35" s="239">
        <f>IFERROR(VLOOKUP($Y$1,INGGRIS!$A$9:$AN$68,40,FALSE),"")</f>
        <v>90</v>
      </c>
      <c r="N35" s="239"/>
      <c r="O35" s="239"/>
      <c r="P35" s="239"/>
      <c r="Q35" s="218" t="str">
        <f>IFERROR(VLOOKUP($Y$1,INGGRIS!$A$9:$AT$68,45,FALSE),"")</f>
        <v>Abhy menunjukkan penguasaan dalam mengidentifikasi dan menyebutkan beberapa rasa pada makanan dan minuman.</v>
      </c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K35" s="15"/>
      <c r="AL35" s="15"/>
      <c r="AM35" s="15"/>
      <c r="AN35" s="15"/>
      <c r="AO35" s="15"/>
      <c r="AP35" s="15"/>
    </row>
    <row r="36" spans="3:42" ht="36.950000000000003" customHeight="1" x14ac:dyDescent="0.25">
      <c r="C36" s="240"/>
      <c r="D36" s="217"/>
      <c r="E36" s="217"/>
      <c r="F36" s="217"/>
      <c r="G36" s="217"/>
      <c r="H36" s="217"/>
      <c r="I36" s="217"/>
      <c r="J36" s="217"/>
      <c r="K36" s="217"/>
      <c r="L36" s="217"/>
      <c r="M36" s="239"/>
      <c r="N36" s="239"/>
      <c r="O36" s="239"/>
      <c r="P36" s="239"/>
      <c r="Q36" s="218" t="str">
        <f>IFERROR(VLOOKUP($Y$1,INGGRIS!$A$9:$AT$68,46,FALSE),"")</f>
        <v>Abhy perlu bimbingan dalam mengidentifikasi dan menyebutkan beberapa rasa pada makanan dan minuman.</v>
      </c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K36" s="15"/>
      <c r="AL36" s="15"/>
      <c r="AM36" s="15"/>
      <c r="AN36" s="15"/>
      <c r="AO36" s="15"/>
      <c r="AP36" s="15"/>
    </row>
    <row r="37" spans="3:42" x14ac:dyDescent="0.25">
      <c r="C37" s="245">
        <v>9</v>
      </c>
      <c r="D37" s="220" t="s">
        <v>87</v>
      </c>
      <c r="E37" s="220"/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K37" s="15"/>
      <c r="AL37" s="15"/>
      <c r="AM37" s="15"/>
      <c r="AN37" s="15"/>
      <c r="AO37" s="15"/>
      <c r="AP37" s="104">
        <v>1</v>
      </c>
    </row>
    <row r="38" spans="3:42" ht="36.950000000000003" customHeight="1" x14ac:dyDescent="0.25">
      <c r="C38" s="246"/>
      <c r="D38" s="217" t="str">
        <f>'MAPEL &amp; BOBOT'!D18</f>
        <v>Bahasa Sunda</v>
      </c>
      <c r="E38" s="217"/>
      <c r="F38" s="217"/>
      <c r="G38" s="217"/>
      <c r="H38" s="217"/>
      <c r="I38" s="217"/>
      <c r="J38" s="217"/>
      <c r="K38" s="217"/>
      <c r="L38" s="217"/>
      <c r="M38" s="239">
        <f>IFERROR(VLOOKUP($Y$1,MULOK1!$A$9:$AN$68,40,FALSE),"")</f>
        <v>90</v>
      </c>
      <c r="N38" s="239"/>
      <c r="O38" s="239"/>
      <c r="P38" s="239"/>
      <c r="Q38" s="218" t="str">
        <f>IFERROR(VLOOKUP($Y$1,MULOK1!$A$9:$AT$68,45,FALSE),"")</f>
        <v>Abhy menunjukkan penguasaan dalam mengetahui jenis teks deskripsi dengan tepat.</v>
      </c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K38" s="15"/>
      <c r="AL38" s="15"/>
      <c r="AM38" s="15"/>
      <c r="AN38" s="15"/>
      <c r="AO38" s="15"/>
      <c r="AP38" s="105">
        <v>1</v>
      </c>
    </row>
    <row r="39" spans="3:42" ht="36.950000000000003" customHeight="1" x14ac:dyDescent="0.25">
      <c r="C39" s="246"/>
      <c r="D39" s="217"/>
      <c r="E39" s="217"/>
      <c r="F39" s="217"/>
      <c r="G39" s="217"/>
      <c r="H39" s="217"/>
      <c r="I39" s="217"/>
      <c r="J39" s="217"/>
      <c r="K39" s="217"/>
      <c r="L39" s="217"/>
      <c r="M39" s="239"/>
      <c r="N39" s="239"/>
      <c r="O39" s="239"/>
      <c r="P39" s="239"/>
      <c r="Q39" s="218" t="str">
        <f>IFERROR(VLOOKUP($Y$1,MULOK1!$A$9:$AT$68,46,FALSE),"")</f>
        <v>Abhy perlu bimbingan dalam mengetahui jenis teks deskripsi dengan tepat.</v>
      </c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K39" s="15"/>
      <c r="AL39" s="15"/>
      <c r="AM39" s="15"/>
      <c r="AN39" s="15"/>
      <c r="AO39" s="15"/>
      <c r="AP39" s="105">
        <v>2</v>
      </c>
    </row>
    <row r="40" spans="3:42" ht="36.950000000000003" hidden="1" customHeight="1" x14ac:dyDescent="0.25">
      <c r="C40" s="246"/>
      <c r="D40" s="217" t="str">
        <f>'MAPEL &amp; BOBOT'!D19</f>
        <v>Bahasa Jepang</v>
      </c>
      <c r="E40" s="217"/>
      <c r="F40" s="217"/>
      <c r="G40" s="217"/>
      <c r="H40" s="217"/>
      <c r="I40" s="217"/>
      <c r="J40" s="217"/>
      <c r="K40" s="217"/>
      <c r="L40" s="217"/>
      <c r="M40" s="219">
        <f>IFERROR(VLOOKUP($Y$1,MULOK2!$A$9:$AN$68,40,FALSE),"")</f>
        <v>90</v>
      </c>
      <c r="N40" s="219"/>
      <c r="O40" s="219"/>
      <c r="P40" s="219"/>
      <c r="Q40" s="218" t="str">
        <f>IFERROR(VLOOKUP($Y$1,MULOK2!$A$9:$AT$68,45,FALSE),"")</f>
        <v>Abhy menunjukkan penguasaan dalam Tujuan Pembelajaran 1.</v>
      </c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K40" s="15"/>
      <c r="AL40" s="15"/>
      <c r="AM40" s="15"/>
      <c r="AN40" s="15"/>
      <c r="AO40" s="15"/>
      <c r="AP40" s="105">
        <v>3</v>
      </c>
    </row>
    <row r="41" spans="3:42" ht="36.950000000000003" hidden="1" customHeight="1" x14ac:dyDescent="0.25">
      <c r="C41" s="246"/>
      <c r="D41" s="217"/>
      <c r="E41" s="217"/>
      <c r="F41" s="217"/>
      <c r="G41" s="217"/>
      <c r="H41" s="217"/>
      <c r="I41" s="217"/>
      <c r="J41" s="217"/>
      <c r="K41" s="217"/>
      <c r="L41" s="217"/>
      <c r="M41" s="219"/>
      <c r="N41" s="219"/>
      <c r="O41" s="219"/>
      <c r="P41" s="219"/>
      <c r="Q41" s="218" t="str">
        <f>IFERROR(VLOOKUP($Y$1,MULOK2!$A$9:$AT$68,46,FALSE),"")</f>
        <v>Abhy perlu bimbingan dalam Tujuan Pembelajaran 1.</v>
      </c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K41" s="15"/>
      <c r="AL41" s="15"/>
      <c r="AM41" s="15"/>
      <c r="AN41" s="15"/>
      <c r="AO41" s="15"/>
      <c r="AP41" s="105">
        <v>4</v>
      </c>
    </row>
    <row r="42" spans="3:42" ht="36.950000000000003" hidden="1" customHeight="1" x14ac:dyDescent="0.25">
      <c r="C42" s="246"/>
      <c r="D42" s="217" t="str">
        <f>'MAPEL &amp; BOBOT'!D20</f>
        <v>Bahasa Jerman</v>
      </c>
      <c r="E42" s="217"/>
      <c r="F42" s="217"/>
      <c r="G42" s="217"/>
      <c r="H42" s="217"/>
      <c r="I42" s="217"/>
      <c r="J42" s="217"/>
      <c r="K42" s="217"/>
      <c r="L42" s="217"/>
      <c r="M42" s="219">
        <f>IFERROR(VLOOKUP($Y$1,MULOK3!$A$9:$AN$68,40,FALSE),"")</f>
        <v>90</v>
      </c>
      <c r="N42" s="219"/>
      <c r="O42" s="219"/>
      <c r="P42" s="219"/>
      <c r="Q42" s="218" t="str">
        <f>IFERROR(VLOOKUP($Y$1,MULOK3!$A$9:$AT$68,45,FALSE),"")</f>
        <v>Abhy menunjukkan penguasaan dalam Tujuan Pembelajaran 1.</v>
      </c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/>
      <c r="AG42" s="218"/>
      <c r="AH42" s="218"/>
      <c r="AI42" s="218"/>
      <c r="AK42" s="15"/>
      <c r="AL42" s="15"/>
      <c r="AM42" s="15"/>
      <c r="AN42" s="15"/>
      <c r="AO42" s="15"/>
      <c r="AP42" s="105">
        <v>5</v>
      </c>
    </row>
    <row r="43" spans="3:42" ht="36.950000000000003" hidden="1" customHeight="1" x14ac:dyDescent="0.25">
      <c r="C43" s="246"/>
      <c r="D43" s="217"/>
      <c r="E43" s="217"/>
      <c r="F43" s="217"/>
      <c r="G43" s="217"/>
      <c r="H43" s="217"/>
      <c r="I43" s="217"/>
      <c r="J43" s="217"/>
      <c r="K43" s="217"/>
      <c r="L43" s="217"/>
      <c r="M43" s="219"/>
      <c r="N43" s="219"/>
      <c r="O43" s="219"/>
      <c r="P43" s="219"/>
      <c r="Q43" s="218" t="str">
        <f>IFERROR(VLOOKUP($Y$1,MULOK3!$A$9:$AT$68,46,FALSE),"")</f>
        <v>Abhy perlu bimbingan dalam Tujuan Pembelajaran 1.</v>
      </c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K43" s="15"/>
      <c r="AL43" s="15"/>
      <c r="AM43" s="15"/>
      <c r="AN43" s="15"/>
      <c r="AO43" s="15"/>
      <c r="AP43" s="105"/>
    </row>
    <row r="44" spans="3:42" ht="36.950000000000003" hidden="1" customHeight="1" x14ac:dyDescent="0.25">
      <c r="C44" s="246"/>
      <c r="D44" s="217" t="str">
        <f>'MAPEL &amp; BOBOT'!D21</f>
        <v>Bahasa Mandarin</v>
      </c>
      <c r="E44" s="217"/>
      <c r="F44" s="217"/>
      <c r="G44" s="217"/>
      <c r="H44" s="217"/>
      <c r="I44" s="217"/>
      <c r="J44" s="217"/>
      <c r="K44" s="217"/>
      <c r="L44" s="217"/>
      <c r="M44" s="219">
        <f>IFERROR(VLOOKUP($Y$1,MULOK4!$A$9:$AN$68,40,FALSE),"")</f>
        <v>90</v>
      </c>
      <c r="N44" s="219"/>
      <c r="O44" s="219"/>
      <c r="P44" s="219"/>
      <c r="Q44" s="218" t="str">
        <f>IFERROR(VLOOKUP($Y$1,MULOK4!$A$9:$AT$68,45,FALSE),"")</f>
        <v>Abhy menunjukkan penguasaan dalam Tujuan Pembelajaran 1.</v>
      </c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K44" s="15"/>
      <c r="AL44" s="15"/>
      <c r="AM44" s="15"/>
      <c r="AN44" s="15"/>
      <c r="AO44" s="15"/>
      <c r="AP44" s="15"/>
    </row>
    <row r="45" spans="3:42" ht="36.950000000000003" hidden="1" customHeight="1" x14ac:dyDescent="0.25">
      <c r="C45" s="246"/>
      <c r="D45" s="217"/>
      <c r="E45" s="217"/>
      <c r="F45" s="217"/>
      <c r="G45" s="217"/>
      <c r="H45" s="217"/>
      <c r="I45" s="217"/>
      <c r="J45" s="217"/>
      <c r="K45" s="217"/>
      <c r="L45" s="217"/>
      <c r="M45" s="219"/>
      <c r="N45" s="219"/>
      <c r="O45" s="219"/>
      <c r="P45" s="219"/>
      <c r="Q45" s="218" t="str">
        <f>IFERROR(VLOOKUP($Y$1,MULOK4!$A$9:$AT$68,46,FALSE),"")</f>
        <v>Abhy perlu bimbingan dalam Tujuan Pembelajaran 1.</v>
      </c>
      <c r="R45" s="218"/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K45" s="15"/>
      <c r="AL45" s="15"/>
      <c r="AM45" s="15"/>
      <c r="AN45" s="15"/>
      <c r="AO45" s="15"/>
      <c r="AP45" s="15"/>
    </row>
    <row r="46" spans="3:42" ht="36.950000000000003" hidden="1" customHeight="1" x14ac:dyDescent="0.25">
      <c r="C46" s="246"/>
      <c r="D46" s="217" t="str">
        <f>'MAPEL &amp; BOBOT'!D22</f>
        <v>Bahasa Korea</v>
      </c>
      <c r="E46" s="217"/>
      <c r="F46" s="217"/>
      <c r="G46" s="217"/>
      <c r="H46" s="217"/>
      <c r="I46" s="217"/>
      <c r="J46" s="217"/>
      <c r="K46" s="217"/>
      <c r="L46" s="217"/>
      <c r="M46" s="219">
        <f>IFERROR(VLOOKUP($Y$1,MULOK5!$A$9:$AN$68,40,FALSE),"")</f>
        <v>90</v>
      </c>
      <c r="N46" s="219"/>
      <c r="O46" s="219"/>
      <c r="P46" s="219"/>
      <c r="Q46" s="218" t="str">
        <f>IFERROR(VLOOKUP($Y$1,MULOK5!$A$9:$AT$68,45,FALSE),"")</f>
        <v>Abhy menunjukkan penguasaan dalam Tujuan Pembelajaran 1.</v>
      </c>
      <c r="R46" s="218"/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K46" s="15"/>
      <c r="AL46" s="15"/>
      <c r="AM46" s="15"/>
      <c r="AN46" s="15"/>
      <c r="AO46" s="15"/>
      <c r="AP46" s="15"/>
    </row>
    <row r="47" spans="3:42" ht="36.950000000000003" hidden="1" customHeight="1" x14ac:dyDescent="0.25">
      <c r="C47" s="247"/>
      <c r="D47" s="217"/>
      <c r="E47" s="217"/>
      <c r="F47" s="217"/>
      <c r="G47" s="217"/>
      <c r="H47" s="217"/>
      <c r="I47" s="217"/>
      <c r="J47" s="217"/>
      <c r="K47" s="217"/>
      <c r="L47" s="217"/>
      <c r="M47" s="219"/>
      <c r="N47" s="219"/>
      <c r="O47" s="219"/>
      <c r="P47" s="219"/>
      <c r="Q47" s="218" t="str">
        <f>IFERROR(VLOOKUP($Y$1,MULOK5!$A$9:$AT$68,46,FALSE),"")</f>
        <v>Abhy perlu bimbingan dalam Tujuan Pembelajaran 1.</v>
      </c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K47" s="15"/>
      <c r="AL47" s="15"/>
      <c r="AM47" s="15"/>
      <c r="AN47" s="15"/>
      <c r="AO47" s="15"/>
      <c r="AP47" s="15"/>
    </row>
    <row r="48" spans="3:42" ht="5.25" customHeight="1" x14ac:dyDescent="0.25">
      <c r="C48" s="96"/>
      <c r="AK48" s="15"/>
      <c r="AL48" s="15"/>
      <c r="AM48" s="15"/>
      <c r="AN48" s="15"/>
      <c r="AO48" s="15"/>
      <c r="AP48" s="15"/>
    </row>
    <row r="49" spans="3:42" hidden="1" x14ac:dyDescent="0.25">
      <c r="AK49" s="15"/>
      <c r="AL49" s="15"/>
      <c r="AM49" s="15"/>
      <c r="AN49" s="15"/>
      <c r="AO49" s="15"/>
      <c r="AP49" s="15"/>
    </row>
    <row r="50" spans="3:42" ht="6" customHeight="1" x14ac:dyDescent="0.25">
      <c r="AK50" s="15"/>
      <c r="AL50" s="15"/>
      <c r="AM50" s="15"/>
      <c r="AN50" s="15"/>
      <c r="AO50" s="15"/>
      <c r="AP50" s="15"/>
    </row>
    <row r="51" spans="3:42" x14ac:dyDescent="0.25">
      <c r="C51" s="95" t="s">
        <v>390</v>
      </c>
      <c r="D51" s="222" t="s">
        <v>395</v>
      </c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 t="s">
        <v>396</v>
      </c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K51" s="15"/>
      <c r="AL51" s="15"/>
      <c r="AM51" s="15"/>
      <c r="AN51" s="15"/>
      <c r="AO51" s="15"/>
      <c r="AP51" s="15">
        <v>2</v>
      </c>
    </row>
    <row r="52" spans="3:42" ht="30" customHeight="1" x14ac:dyDescent="0.25">
      <c r="C52" s="17">
        <v>1</v>
      </c>
      <c r="D52" s="217" t="str">
        <f>IFERROR(T(VLOOKUP($Y$1,Ekstrakurikuler!$A$9:$L$68,3,FALSE)),"")</f>
        <v>Pramuka</v>
      </c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8" t="str">
        <f>IFERROR(T(VLOOKUP($Y$1,Ekstrakurikuler!$A$9:$L$68,4,FALSE)),"")</f>
        <v>bagus</v>
      </c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K52" s="15"/>
      <c r="AL52" s="15"/>
      <c r="AM52" s="15"/>
      <c r="AN52" s="15"/>
      <c r="AO52" s="15"/>
      <c r="AP52" s="15">
        <v>1</v>
      </c>
    </row>
    <row r="53" spans="3:42" ht="30" customHeight="1" x14ac:dyDescent="0.25">
      <c r="C53" s="17">
        <v>2</v>
      </c>
      <c r="D53" s="217" t="str">
        <f>IFERROR(T(VLOOKUP($Y$1,Ekstrakurikuler!$A$9:$L$68,5,FALSE)),"")</f>
        <v>Taekwondo</v>
      </c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8" t="str">
        <f>IFERROR(T(VLOOKUP($Y$1,Ekstrakurikuler!$A$9:$L$68,6,FALSE)),"")</f>
        <v>Wow</v>
      </c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K53" s="15"/>
      <c r="AL53" s="15"/>
      <c r="AM53" s="15"/>
      <c r="AN53" s="15"/>
      <c r="AO53" s="15"/>
      <c r="AP53" s="15">
        <v>2</v>
      </c>
    </row>
    <row r="54" spans="3:42" ht="30" hidden="1" customHeight="1" x14ac:dyDescent="0.25">
      <c r="C54" s="17">
        <v>3</v>
      </c>
      <c r="D54" s="217" t="str">
        <f>IFERROR(T(VLOOKUP($Y$1,Ekstrakurikuler!$A$9:$L$68,7,FALSE)),"")</f>
        <v/>
      </c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8" t="str">
        <f>IFERROR(T(VLOOKUP($Y$1,Ekstrakurikuler!$A$9:$L$68,8,FALSE)),"")</f>
        <v/>
      </c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K54" s="15"/>
      <c r="AL54" s="15"/>
      <c r="AM54" s="15"/>
      <c r="AN54" s="15"/>
      <c r="AO54" s="15"/>
      <c r="AP54" s="15">
        <v>3</v>
      </c>
    </row>
    <row r="55" spans="3:42" ht="30" hidden="1" customHeight="1" x14ac:dyDescent="0.25">
      <c r="C55" s="17">
        <v>4</v>
      </c>
      <c r="D55" s="217" t="str">
        <f>IFERROR(T(VLOOKUP($Y$1,Ekstrakurikuler!$A$9:$L$68,9,FALSE)),"")</f>
        <v>IT</v>
      </c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8" t="str">
        <f>IFERROR(T(VLOOKUP($Y$1,Ekstrakurikuler!$A$9:$L$68,10,FALSE)),"")</f>
        <v>Hacker</v>
      </c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K55" s="15"/>
      <c r="AL55" s="15"/>
      <c r="AM55" s="15"/>
      <c r="AN55" s="15"/>
      <c r="AO55" s="15"/>
      <c r="AP55" s="15">
        <v>4</v>
      </c>
    </row>
    <row r="56" spans="3:42" ht="30" hidden="1" customHeight="1" x14ac:dyDescent="0.25">
      <c r="C56" s="17">
        <v>5</v>
      </c>
      <c r="D56" s="217" t="str">
        <f>IFERROR(T(VLOOKUP($Y$1,Ekstrakurikuler!$A$9:$L$68,11,FALSE)),"")</f>
        <v/>
      </c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8" t="str">
        <f>IFERROR(T(VLOOKUP($Y$1,Ekstrakurikuler!$A$9:$L$68,12,FALSE)),"")</f>
        <v/>
      </c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K56" s="15"/>
      <c r="AL56" s="15"/>
      <c r="AM56" s="15"/>
      <c r="AN56" s="15"/>
      <c r="AO56" s="15"/>
      <c r="AP56" s="15">
        <v>5</v>
      </c>
    </row>
    <row r="57" spans="3:42" x14ac:dyDescent="0.25">
      <c r="AK57" s="15"/>
      <c r="AL57" s="15"/>
      <c r="AM57" s="15"/>
      <c r="AN57" s="15"/>
      <c r="AO57" s="15"/>
      <c r="AP57" s="15"/>
    </row>
    <row r="58" spans="3:42" x14ac:dyDescent="0.25">
      <c r="C58" s="222" t="s">
        <v>373</v>
      </c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K58" s="15"/>
      <c r="AL58" s="15"/>
      <c r="AM58" s="15"/>
      <c r="AN58" s="15"/>
      <c r="AO58" s="15"/>
      <c r="AP58" s="15"/>
    </row>
    <row r="59" spans="3:42" ht="37.5" customHeight="1" x14ac:dyDescent="0.25">
      <c r="C59" s="225" t="str">
        <f>IFERROR(T(VLOOKUP($Y$1,'Catatan Guru'!$A$9:$C$68,3,FALSE)),"")</f>
        <v>a</v>
      </c>
      <c r="D59" s="225"/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K59" s="15"/>
      <c r="AL59" s="15"/>
      <c r="AM59" s="15"/>
      <c r="AN59" s="15"/>
      <c r="AO59" s="15"/>
      <c r="AP59" s="15"/>
    </row>
    <row r="60" spans="3:42" x14ac:dyDescent="0.25">
      <c r="AK60" s="15"/>
      <c r="AL60" s="15"/>
      <c r="AM60" s="15"/>
      <c r="AN60" s="15"/>
      <c r="AO60" s="15"/>
      <c r="AP60" s="15"/>
    </row>
    <row r="61" spans="3:42" x14ac:dyDescent="0.25">
      <c r="C61" s="222" t="s">
        <v>397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T61" s="226" t="s">
        <v>405</v>
      </c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6"/>
      <c r="AG61" s="226"/>
      <c r="AH61" s="226"/>
      <c r="AI61" s="226"/>
      <c r="AK61" s="15"/>
      <c r="AL61" s="15"/>
      <c r="AM61" s="15"/>
      <c r="AN61" s="15"/>
      <c r="AO61" s="15"/>
      <c r="AP61" s="15"/>
    </row>
    <row r="62" spans="3:42" ht="15" customHeight="1" x14ac:dyDescent="0.25">
      <c r="C62" s="212" t="s">
        <v>398</v>
      </c>
      <c r="D62" s="213"/>
      <c r="E62" s="213"/>
      <c r="F62" s="213"/>
      <c r="G62" s="213"/>
      <c r="H62" s="213"/>
      <c r="I62" s="213"/>
      <c r="J62" s="213"/>
      <c r="K62" s="213"/>
      <c r="L62" s="213"/>
      <c r="M62" s="176" t="s">
        <v>1</v>
      </c>
      <c r="N62" s="214" t="str">
        <f>IFERROR(VLOOKUP($Y$1,Absensi!$A$9:$E$68,3,FALSE)&amp;" hari","")</f>
        <v>2 hari</v>
      </c>
      <c r="O62" s="214"/>
      <c r="P62" s="214"/>
      <c r="Q62" s="215"/>
      <c r="T62" s="230" t="s">
        <v>428</v>
      </c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2"/>
      <c r="AK62" s="15"/>
      <c r="AL62" s="15"/>
      <c r="AM62" s="15"/>
      <c r="AN62" s="15"/>
      <c r="AO62" s="15"/>
      <c r="AP62" s="15"/>
    </row>
    <row r="63" spans="3:42" x14ac:dyDescent="0.25">
      <c r="C63" s="237" t="s">
        <v>375</v>
      </c>
      <c r="D63" s="238"/>
      <c r="E63" s="238"/>
      <c r="F63" s="238"/>
      <c r="G63" s="238"/>
      <c r="H63" s="238"/>
      <c r="I63" s="238"/>
      <c r="J63" s="238"/>
      <c r="K63" s="238"/>
      <c r="L63" s="238"/>
      <c r="M63" s="177" t="s">
        <v>1</v>
      </c>
      <c r="N63" s="214" t="str">
        <f>IFERROR(VLOOKUP($Y$1,Absensi!$A$9:$E$68,4,FALSE)&amp;" hari","")</f>
        <v>1 hari</v>
      </c>
      <c r="O63" s="214"/>
      <c r="P63" s="214"/>
      <c r="Q63" s="215"/>
      <c r="T63" s="233"/>
      <c r="U63" s="234"/>
      <c r="V63" s="234"/>
      <c r="W63" s="234"/>
      <c r="X63" s="234"/>
      <c r="Y63" s="234"/>
      <c r="Z63" s="234"/>
      <c r="AA63" s="234"/>
      <c r="AB63" s="234"/>
      <c r="AC63" s="234"/>
      <c r="AD63" s="234"/>
      <c r="AE63" s="234"/>
      <c r="AF63" s="234"/>
      <c r="AG63" s="234"/>
      <c r="AH63" s="234"/>
      <c r="AI63" s="235"/>
      <c r="AK63" s="15"/>
      <c r="AL63" s="15"/>
      <c r="AM63" s="15"/>
      <c r="AN63" s="15"/>
      <c r="AO63" s="15"/>
      <c r="AP63" s="15"/>
    </row>
    <row r="64" spans="3:42" x14ac:dyDescent="0.25">
      <c r="C64" s="212" t="s">
        <v>376</v>
      </c>
      <c r="D64" s="213"/>
      <c r="E64" s="213"/>
      <c r="F64" s="213"/>
      <c r="G64" s="213"/>
      <c r="H64" s="213"/>
      <c r="I64" s="213"/>
      <c r="J64" s="213"/>
      <c r="K64" s="213"/>
      <c r="L64" s="213"/>
      <c r="M64" s="176" t="s">
        <v>1</v>
      </c>
      <c r="N64" s="214" t="str">
        <f>IFERROR(VLOOKUP($Y$1,Absensi!$A$9:$E$68,5,FALSE)&amp;" hari","")</f>
        <v>0 hari</v>
      </c>
      <c r="O64" s="214"/>
      <c r="P64" s="214"/>
      <c r="Q64" s="215"/>
      <c r="T64" s="227" t="str">
        <f>"Naik ke Kelas "&amp;'Profil Sekolah'!E20</f>
        <v>Naik ke Kelas VI</v>
      </c>
      <c r="U64" s="228"/>
      <c r="V64" s="228"/>
      <c r="W64" s="228"/>
      <c r="X64" s="228"/>
      <c r="Y64" s="228"/>
      <c r="Z64" s="228"/>
      <c r="AA64" s="229"/>
      <c r="AB64" s="236" t="str">
        <f>"Tinggal di Kelas "&amp;'Profil Sekolah'!D20</f>
        <v>Tinggal di Kelas V</v>
      </c>
      <c r="AC64" s="228"/>
      <c r="AD64" s="228"/>
      <c r="AE64" s="228"/>
      <c r="AF64" s="228"/>
      <c r="AG64" s="228"/>
      <c r="AH64" s="228"/>
      <c r="AI64" s="229"/>
      <c r="AK64" s="15"/>
      <c r="AL64" s="15"/>
      <c r="AM64" s="15"/>
      <c r="AN64" s="15"/>
      <c r="AO64" s="15"/>
      <c r="AP64" s="15"/>
    </row>
    <row r="65" spans="3:42" x14ac:dyDescent="0.25">
      <c r="AK65" s="15"/>
      <c r="AL65" s="15"/>
      <c r="AM65" s="15"/>
      <c r="AN65" s="15"/>
      <c r="AO65" s="15"/>
      <c r="AP65" s="15"/>
    </row>
    <row r="66" spans="3:42" hidden="1" x14ac:dyDescent="0.25">
      <c r="AK66" s="15"/>
      <c r="AL66" s="15"/>
      <c r="AM66" s="15"/>
      <c r="AN66" s="15"/>
      <c r="AO66" s="15"/>
      <c r="AP66" s="15"/>
    </row>
    <row r="67" spans="3:42" x14ac:dyDescent="0.25">
      <c r="E67" s="224" t="s">
        <v>399</v>
      </c>
      <c r="F67" s="224"/>
      <c r="G67" s="224"/>
      <c r="H67" s="224"/>
      <c r="X67" s="97" t="str">
        <f>'Profil Sekolah'!D27&amp;", "&amp;'Profil Sekolah'!D28</f>
        <v>Sukabumi, 26 Juni 2026</v>
      </c>
      <c r="Y67" s="97"/>
      <c r="Z67" s="97"/>
      <c r="AA67" s="97"/>
      <c r="AB67" s="97"/>
      <c r="AC67" s="97"/>
      <c r="AK67" s="15"/>
      <c r="AL67" s="15"/>
      <c r="AM67" s="15"/>
      <c r="AN67" s="15"/>
      <c r="AO67" s="15"/>
      <c r="AP67" s="15"/>
    </row>
    <row r="68" spans="3:42" x14ac:dyDescent="0.25">
      <c r="E68" s="224" t="s">
        <v>400</v>
      </c>
      <c r="F68" s="224"/>
      <c r="G68" s="224"/>
      <c r="H68" s="224"/>
      <c r="I68" s="224"/>
      <c r="J68" s="224"/>
      <c r="X68" s="224" t="s">
        <v>401</v>
      </c>
      <c r="Y68" s="224"/>
      <c r="Z68" s="224"/>
      <c r="AA68" s="224"/>
      <c r="AB68" s="224"/>
      <c r="AC68" s="224"/>
      <c r="AK68" s="15"/>
      <c r="AL68" s="15"/>
      <c r="AM68" s="15"/>
      <c r="AN68" s="15"/>
      <c r="AO68" s="15"/>
      <c r="AP68" s="15"/>
    </row>
    <row r="69" spans="3:42" x14ac:dyDescent="0.25">
      <c r="AK69" s="15"/>
      <c r="AL69" s="15"/>
      <c r="AM69" s="15"/>
      <c r="AN69" s="15"/>
      <c r="AO69" s="15"/>
      <c r="AP69" s="15"/>
    </row>
    <row r="70" spans="3:42" ht="6.75" customHeight="1" x14ac:dyDescent="0.25">
      <c r="AK70" s="15"/>
      <c r="AL70" s="15"/>
      <c r="AM70" s="15"/>
      <c r="AN70" s="15"/>
      <c r="AO70" s="15"/>
      <c r="AP70" s="15"/>
    </row>
    <row r="71" spans="3:42" ht="9.75" customHeight="1" x14ac:dyDescent="0.25">
      <c r="AK71" s="15"/>
      <c r="AL71" s="15"/>
      <c r="AM71" s="15"/>
      <c r="AN71" s="15"/>
      <c r="AO71" s="15"/>
      <c r="AP71" s="15"/>
    </row>
    <row r="72" spans="3:42" x14ac:dyDescent="0.25">
      <c r="D72" s="91" t="s">
        <v>402</v>
      </c>
      <c r="E72" s="98" t="str">
        <f>IFERROR(PROPER(VLOOKUP($Y$1,'Identitas Siswa'!$A$8:$M$67,12,FALSE)),"")</f>
        <v>Hadi Pirandani</v>
      </c>
      <c r="F72" s="98"/>
      <c r="G72" s="98"/>
      <c r="H72" s="98"/>
      <c r="I72" s="98"/>
      <c r="J72" s="98"/>
      <c r="K72" s="98"/>
      <c r="L72" s="98"/>
      <c r="M72" s="98"/>
      <c r="N72" s="98"/>
      <c r="O72" s="98"/>
      <c r="X72" s="98" t="str">
        <f>'Profil Sekolah'!D25</f>
        <v>Adnan Abdillah, S.Pd.</v>
      </c>
      <c r="AK72" s="15"/>
      <c r="AL72" s="15"/>
      <c r="AM72" s="15"/>
      <c r="AN72" s="15"/>
      <c r="AO72" s="15"/>
      <c r="AP72" s="15"/>
    </row>
    <row r="73" spans="3:42" x14ac:dyDescent="0.25">
      <c r="X73" s="91" t="str">
        <f>"NIP "&amp;'Profil Sekolah'!D26</f>
        <v>NIP -</v>
      </c>
      <c r="AK73" s="15"/>
      <c r="AL73" s="15"/>
      <c r="AM73" s="15"/>
      <c r="AN73" s="15"/>
      <c r="AO73" s="15"/>
      <c r="AP73" s="15"/>
    </row>
    <row r="74" spans="3:42" hidden="1" x14ac:dyDescent="0.25">
      <c r="AK74" s="15"/>
      <c r="AL74" s="15"/>
      <c r="AM74" s="15"/>
      <c r="AN74" s="15"/>
      <c r="AO74" s="15"/>
      <c r="AP74" s="15"/>
    </row>
    <row r="75" spans="3:42" x14ac:dyDescent="0.25">
      <c r="C75" s="242" t="s">
        <v>403</v>
      </c>
      <c r="D75" s="242"/>
      <c r="E75" s="242"/>
      <c r="F75" s="242"/>
      <c r="G75" s="242"/>
      <c r="H75" s="242"/>
      <c r="I75" s="242"/>
      <c r="J75" s="242"/>
      <c r="K75" s="242"/>
      <c r="L75" s="242"/>
      <c r="M75" s="242"/>
      <c r="N75" s="242"/>
      <c r="O75" s="242"/>
      <c r="P75" s="242"/>
      <c r="Q75" s="242"/>
      <c r="R75" s="242"/>
      <c r="S75" s="242"/>
      <c r="T75" s="242"/>
      <c r="U75" s="242"/>
      <c r="V75" s="242"/>
      <c r="W75" s="242"/>
      <c r="X75" s="242"/>
      <c r="Y75" s="242"/>
      <c r="Z75" s="242"/>
      <c r="AA75" s="242"/>
      <c r="AB75" s="242"/>
      <c r="AC75" s="242"/>
      <c r="AD75" s="242"/>
      <c r="AE75" s="242"/>
      <c r="AF75" s="242"/>
      <c r="AG75" s="242"/>
      <c r="AH75" s="242"/>
      <c r="AI75" s="242"/>
      <c r="AK75" s="15"/>
      <c r="AL75" s="15"/>
      <c r="AM75" s="15"/>
      <c r="AN75" s="15"/>
      <c r="AO75" s="15"/>
      <c r="AP75" s="15"/>
    </row>
    <row r="76" spans="3:42" x14ac:dyDescent="0.25">
      <c r="C76" s="243" t="s">
        <v>404</v>
      </c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  <c r="AA76" s="243"/>
      <c r="AB76" s="243"/>
      <c r="AC76" s="243"/>
      <c r="AD76" s="243"/>
      <c r="AE76" s="243"/>
      <c r="AF76" s="243"/>
      <c r="AG76" s="243"/>
      <c r="AH76" s="243"/>
      <c r="AI76" s="243"/>
      <c r="AK76" s="15"/>
      <c r="AL76" s="15"/>
      <c r="AM76" s="15"/>
      <c r="AN76" s="15"/>
      <c r="AO76" s="15"/>
      <c r="AP76" s="15"/>
    </row>
    <row r="77" spans="3:42" ht="10.5" customHeight="1" x14ac:dyDescent="0.25">
      <c r="AK77" s="15"/>
      <c r="AL77" s="15"/>
      <c r="AM77" s="15"/>
      <c r="AN77" s="15"/>
      <c r="AO77" s="15"/>
      <c r="AP77" s="15"/>
    </row>
    <row r="78" spans="3:42" ht="5.25" customHeight="1" x14ac:dyDescent="0.25">
      <c r="AK78" s="15"/>
      <c r="AL78" s="15"/>
      <c r="AM78" s="15"/>
      <c r="AN78" s="15"/>
      <c r="AO78" s="15"/>
      <c r="AP78" s="15"/>
    </row>
    <row r="79" spans="3:42" x14ac:dyDescent="0.25">
      <c r="AK79" s="15"/>
      <c r="AL79" s="15"/>
      <c r="AM79" s="15"/>
      <c r="AN79" s="15"/>
      <c r="AO79" s="15"/>
      <c r="AP79" s="15"/>
    </row>
    <row r="80" spans="3:42" x14ac:dyDescent="0.25">
      <c r="AK80" s="15"/>
      <c r="AL80" s="15"/>
      <c r="AM80" s="15"/>
      <c r="AN80" s="15"/>
      <c r="AO80" s="15"/>
      <c r="AP80" s="15"/>
    </row>
    <row r="81" spans="1:42" x14ac:dyDescent="0.25">
      <c r="C81" s="244" t="str">
        <f>'Profil Sekolah'!D23</f>
        <v>Asep Agus Permana, S.Pd., SD.</v>
      </c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  <c r="X81" s="244"/>
      <c r="Y81" s="244"/>
      <c r="Z81" s="244"/>
      <c r="AA81" s="244"/>
      <c r="AB81" s="244"/>
      <c r="AC81" s="244"/>
      <c r="AD81" s="244"/>
      <c r="AE81" s="244"/>
      <c r="AF81" s="244"/>
      <c r="AG81" s="244"/>
      <c r="AH81" s="244"/>
      <c r="AI81" s="244"/>
      <c r="AK81" s="15"/>
      <c r="AL81" s="15"/>
      <c r="AM81" s="15"/>
      <c r="AN81" s="15"/>
      <c r="AO81" s="15"/>
      <c r="AP81" s="15"/>
    </row>
    <row r="82" spans="1:42" x14ac:dyDescent="0.25">
      <c r="C82" s="243" t="str">
        <f>"NIP "&amp;'Profil Sekolah'!D24</f>
        <v>NIP 196908272000121000</v>
      </c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  <c r="AA82" s="243"/>
      <c r="AB82" s="243"/>
      <c r="AC82" s="243"/>
      <c r="AD82" s="243"/>
      <c r="AE82" s="243"/>
      <c r="AF82" s="243"/>
      <c r="AG82" s="243"/>
      <c r="AH82" s="243"/>
      <c r="AI82" s="243"/>
      <c r="AK82" s="15"/>
      <c r="AL82" s="15"/>
      <c r="AM82" s="15"/>
      <c r="AN82" s="15"/>
      <c r="AO82" s="15"/>
      <c r="AP82" s="15"/>
    </row>
    <row r="83" spans="1:42" x14ac:dyDescent="0.25"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15"/>
      <c r="AK83" s="15"/>
      <c r="AL83" s="15"/>
      <c r="AM83" s="15"/>
      <c r="AN83" s="15"/>
      <c r="AO83" s="15"/>
      <c r="AP83" s="15"/>
    </row>
    <row r="84" spans="1:42" s="87" customFormat="1" hidden="1" x14ac:dyDescent="0.25">
      <c r="A84" s="15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15"/>
      <c r="AK84" s="15"/>
      <c r="AL84" s="15"/>
      <c r="AM84" s="15"/>
      <c r="AN84" s="15"/>
      <c r="AO84" s="15"/>
      <c r="AP84" s="15"/>
    </row>
    <row r="85" spans="1:42" s="87" customFormat="1" hidden="1" x14ac:dyDescent="0.25">
      <c r="A85" s="15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15"/>
      <c r="AK85" s="15"/>
      <c r="AL85" s="15"/>
      <c r="AM85" s="15"/>
      <c r="AN85" s="15"/>
      <c r="AO85" s="15"/>
      <c r="AP85" s="15"/>
    </row>
    <row r="86" spans="1:42" s="87" customFormat="1" hidden="1" x14ac:dyDescent="0.25">
      <c r="A86" s="15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15"/>
      <c r="AK86" s="15"/>
      <c r="AL86" s="15"/>
      <c r="AM86" s="15"/>
      <c r="AN86" s="15"/>
      <c r="AO86" s="15"/>
      <c r="AP86" s="15"/>
    </row>
    <row r="87" spans="1:42" s="87" customFormat="1" hidden="1" x14ac:dyDescent="0.25">
      <c r="A87" s="15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15"/>
      <c r="AK87" s="15"/>
      <c r="AL87" s="15"/>
      <c r="AM87" s="15"/>
      <c r="AN87" s="15"/>
      <c r="AO87" s="15"/>
      <c r="AP87" s="15"/>
    </row>
    <row r="88" spans="1:42" s="87" customFormat="1" hidden="1" x14ac:dyDescent="0.25">
      <c r="A88" s="15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15"/>
      <c r="AK88" s="15"/>
      <c r="AL88" s="15"/>
      <c r="AM88" s="15"/>
      <c r="AN88" s="15"/>
      <c r="AO88" s="15"/>
      <c r="AP88" s="15"/>
    </row>
    <row r="89" spans="1:42" s="87" customFormat="1" hidden="1" x14ac:dyDescent="0.25">
      <c r="A89" s="15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15"/>
      <c r="AK89" s="15"/>
      <c r="AL89" s="15"/>
      <c r="AM89" s="15"/>
      <c r="AN89" s="15"/>
      <c r="AO89" s="15"/>
      <c r="AP89" s="15"/>
    </row>
    <row r="90" spans="1:42" s="87" customFormat="1" hidden="1" x14ac:dyDescent="0.25">
      <c r="A90" s="15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15"/>
      <c r="AK90" s="15"/>
      <c r="AL90" s="15"/>
      <c r="AM90" s="15"/>
      <c r="AN90" s="15"/>
      <c r="AO90" s="15"/>
      <c r="AP90" s="15"/>
    </row>
    <row r="91" spans="1:42" s="87" customFormat="1" hidden="1" x14ac:dyDescent="0.25">
      <c r="A91" s="15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15"/>
      <c r="AK91" s="15"/>
      <c r="AL91" s="15"/>
      <c r="AM91" s="15"/>
      <c r="AN91" s="15"/>
      <c r="AO91" s="15"/>
      <c r="AP91" s="15"/>
    </row>
    <row r="92" spans="1:42" hidden="1" x14ac:dyDescent="0.25"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15"/>
      <c r="AK92" s="15"/>
      <c r="AL92" s="15"/>
      <c r="AM92" s="15"/>
      <c r="AN92" s="15"/>
      <c r="AO92" s="15"/>
      <c r="AP92" s="15"/>
    </row>
    <row r="93" spans="1:42" hidden="1" x14ac:dyDescent="0.25"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15"/>
      <c r="AK93" s="15"/>
      <c r="AL93" s="15"/>
      <c r="AM93" s="15"/>
      <c r="AN93" s="15"/>
      <c r="AO93" s="15"/>
      <c r="AP93" s="15"/>
    </row>
    <row r="94" spans="1:42" hidden="1" x14ac:dyDescent="0.25"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15"/>
      <c r="AK94" s="15"/>
      <c r="AL94" s="15"/>
      <c r="AM94" s="15"/>
      <c r="AN94" s="15"/>
      <c r="AO94" s="15"/>
      <c r="AP94" s="15"/>
    </row>
    <row r="95" spans="1:42" hidden="1" x14ac:dyDescent="0.25"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15"/>
      <c r="AK95" s="15"/>
      <c r="AL95" s="15"/>
      <c r="AM95" s="15"/>
      <c r="AN95" s="15"/>
      <c r="AO95" s="15"/>
      <c r="AP95" s="15"/>
    </row>
    <row r="96" spans="1:42" hidden="1" x14ac:dyDescent="0.25"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15"/>
      <c r="AK96" s="15"/>
      <c r="AL96" s="15"/>
      <c r="AM96" s="15"/>
      <c r="AN96" s="15"/>
      <c r="AO96" s="15"/>
      <c r="AP96" s="15"/>
    </row>
    <row r="97" spans="2:42" hidden="1" x14ac:dyDescent="0.25"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15"/>
      <c r="AK97" s="15"/>
      <c r="AL97" s="15"/>
      <c r="AM97" s="15"/>
      <c r="AN97" s="15"/>
      <c r="AO97" s="15"/>
      <c r="AP97" s="15"/>
    </row>
    <row r="98" spans="2:42" hidden="1" x14ac:dyDescent="0.25"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15"/>
      <c r="AK98" s="15"/>
      <c r="AL98" s="15"/>
      <c r="AM98" s="15"/>
      <c r="AN98" s="15"/>
      <c r="AO98" s="15"/>
      <c r="AP98" s="15"/>
    </row>
    <row r="99" spans="2:42" hidden="1" x14ac:dyDescent="0.25"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15"/>
      <c r="AK99" s="15"/>
      <c r="AL99" s="15"/>
      <c r="AM99" s="15"/>
      <c r="AN99" s="15"/>
      <c r="AO99" s="15"/>
      <c r="AP99" s="15"/>
    </row>
    <row r="100" spans="2:42" hidden="1" x14ac:dyDescent="0.25"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15"/>
      <c r="AK100" s="15"/>
      <c r="AL100" s="15"/>
      <c r="AM100" s="15"/>
      <c r="AN100" s="15"/>
      <c r="AO100" s="15"/>
      <c r="AP100" s="15"/>
    </row>
    <row r="101" spans="2:42" hidden="1" x14ac:dyDescent="0.25"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15"/>
      <c r="AK101" s="15"/>
      <c r="AL101" s="15"/>
      <c r="AM101" s="15"/>
      <c r="AN101" s="15"/>
      <c r="AO101" s="15"/>
      <c r="AP101" s="15"/>
    </row>
    <row r="102" spans="2:42" hidden="1" x14ac:dyDescent="0.25"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15"/>
      <c r="AK102" s="15"/>
      <c r="AL102" s="15"/>
      <c r="AM102" s="15"/>
      <c r="AN102" s="15"/>
      <c r="AO102" s="15"/>
      <c r="AP102" s="15"/>
    </row>
    <row r="103" spans="2:42" hidden="1" x14ac:dyDescent="0.25"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15"/>
      <c r="AK103" s="15"/>
      <c r="AL103" s="15"/>
      <c r="AM103" s="15"/>
      <c r="AN103" s="15"/>
      <c r="AO103" s="15"/>
      <c r="AP103" s="15"/>
    </row>
    <row r="104" spans="2:42" hidden="1" x14ac:dyDescent="0.25"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15"/>
      <c r="AK104" s="15"/>
      <c r="AL104" s="15"/>
      <c r="AM104" s="15"/>
      <c r="AN104" s="15"/>
      <c r="AO104" s="15"/>
      <c r="AP104" s="15"/>
    </row>
    <row r="105" spans="2:42" hidden="1" x14ac:dyDescent="0.25"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15"/>
      <c r="AK105" s="15"/>
      <c r="AL105" s="15"/>
      <c r="AM105" s="15"/>
      <c r="AN105" s="15"/>
      <c r="AO105" s="15"/>
      <c r="AP105" s="15"/>
    </row>
    <row r="106" spans="2:42" hidden="1" x14ac:dyDescent="0.25"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15"/>
      <c r="AK106" s="15"/>
      <c r="AL106" s="15"/>
      <c r="AM106" s="15"/>
      <c r="AN106" s="15"/>
      <c r="AO106" s="15"/>
      <c r="AP106" s="15"/>
    </row>
    <row r="107" spans="2:42" hidden="1" x14ac:dyDescent="0.25"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15"/>
      <c r="AK107" s="15"/>
      <c r="AL107" s="15"/>
      <c r="AM107" s="15"/>
      <c r="AN107" s="15"/>
      <c r="AO107" s="15"/>
      <c r="AP107" s="15"/>
    </row>
    <row r="108" spans="2:42" hidden="1" x14ac:dyDescent="0.25"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15"/>
      <c r="AK108" s="15"/>
      <c r="AL108" s="15"/>
      <c r="AM108" s="15"/>
      <c r="AN108" s="15"/>
      <c r="AO108" s="15"/>
      <c r="AP108" s="15"/>
    </row>
    <row r="109" spans="2:42" hidden="1" x14ac:dyDescent="0.25"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15"/>
      <c r="AK109" s="15"/>
      <c r="AL109" s="15"/>
      <c r="AM109" s="15"/>
      <c r="AN109" s="15"/>
      <c r="AO109" s="15"/>
      <c r="AP109" s="15"/>
    </row>
    <row r="110" spans="2:42" hidden="1" x14ac:dyDescent="0.25"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15"/>
      <c r="AK110" s="15"/>
      <c r="AL110" s="15"/>
      <c r="AM110" s="15"/>
      <c r="AN110" s="15"/>
      <c r="AO110" s="15"/>
      <c r="AP110" s="15"/>
    </row>
    <row r="111" spans="2:42" hidden="1" x14ac:dyDescent="0.25"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15"/>
      <c r="AK111" s="15"/>
      <c r="AL111" s="15"/>
      <c r="AM111" s="15"/>
      <c r="AN111" s="15"/>
      <c r="AO111" s="15"/>
      <c r="AP111" s="15"/>
    </row>
    <row r="112" spans="2:42" hidden="1" x14ac:dyDescent="0.25"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15"/>
      <c r="AK112" s="15"/>
      <c r="AL112" s="15"/>
      <c r="AM112" s="15"/>
      <c r="AN112" s="15"/>
      <c r="AO112" s="15"/>
      <c r="AP112" s="15"/>
    </row>
    <row r="113" spans="2:42" hidden="1" x14ac:dyDescent="0.25"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15"/>
      <c r="AK113" s="15"/>
      <c r="AL113" s="15"/>
      <c r="AM113" s="15"/>
      <c r="AN113" s="15"/>
      <c r="AO113" s="15"/>
      <c r="AP113" s="15"/>
    </row>
    <row r="114" spans="2:42" hidden="1" x14ac:dyDescent="0.25"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15"/>
      <c r="AK114" s="15"/>
      <c r="AL114" s="15"/>
      <c r="AM114" s="15"/>
      <c r="AN114" s="15"/>
      <c r="AO114" s="15"/>
      <c r="AP114" s="15"/>
    </row>
    <row r="115" spans="2:42" hidden="1" x14ac:dyDescent="0.25"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15"/>
      <c r="AK115" s="15"/>
      <c r="AL115" s="15"/>
      <c r="AM115" s="15"/>
      <c r="AN115" s="15"/>
      <c r="AO115" s="15"/>
      <c r="AP115" s="15"/>
    </row>
    <row r="116" spans="2:42" hidden="1" x14ac:dyDescent="0.25"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15"/>
      <c r="AK116" s="15"/>
      <c r="AL116" s="15"/>
      <c r="AM116" s="15"/>
      <c r="AN116" s="15"/>
      <c r="AO116" s="15"/>
      <c r="AP116" s="15"/>
    </row>
    <row r="117" spans="2:42" hidden="1" x14ac:dyDescent="0.25"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15"/>
      <c r="AK117" s="15"/>
      <c r="AL117" s="15"/>
      <c r="AM117" s="15"/>
      <c r="AN117" s="15"/>
      <c r="AO117" s="15"/>
      <c r="AP117" s="15"/>
    </row>
    <row r="118" spans="2:42" hidden="1" x14ac:dyDescent="0.25"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15"/>
      <c r="AK118" s="15"/>
      <c r="AL118" s="15"/>
      <c r="AM118" s="15"/>
      <c r="AN118" s="15"/>
      <c r="AO118" s="15"/>
      <c r="AP118" s="15"/>
    </row>
    <row r="119" spans="2:42" hidden="1" x14ac:dyDescent="0.25"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15"/>
      <c r="AK119" s="15"/>
      <c r="AL119" s="15"/>
      <c r="AM119" s="15"/>
      <c r="AN119" s="15"/>
      <c r="AO119" s="15"/>
      <c r="AP119" s="15"/>
    </row>
    <row r="120" spans="2:42" hidden="1" x14ac:dyDescent="0.25"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15"/>
      <c r="AK120" s="15"/>
      <c r="AL120" s="15"/>
      <c r="AM120" s="15"/>
      <c r="AN120" s="15"/>
      <c r="AO120" s="15"/>
      <c r="AP120" s="15"/>
    </row>
    <row r="121" spans="2:42" hidden="1" x14ac:dyDescent="0.25"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15"/>
      <c r="AK121" s="15"/>
      <c r="AL121" s="15"/>
      <c r="AM121" s="15"/>
      <c r="AN121" s="15"/>
      <c r="AO121" s="15"/>
      <c r="AP121" s="15"/>
    </row>
    <row r="122" spans="2:42" hidden="1" x14ac:dyDescent="0.25"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15"/>
      <c r="AK122" s="15"/>
      <c r="AL122" s="15"/>
      <c r="AM122" s="15"/>
      <c r="AN122" s="15"/>
      <c r="AO122" s="15"/>
      <c r="AP122" s="15"/>
    </row>
    <row r="123" spans="2:42" hidden="1" x14ac:dyDescent="0.25"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15"/>
      <c r="AK123" s="15"/>
      <c r="AL123" s="15"/>
      <c r="AM123" s="15"/>
      <c r="AN123" s="15"/>
      <c r="AO123" s="15"/>
      <c r="AP123" s="15"/>
    </row>
    <row r="124" spans="2:42" hidden="1" x14ac:dyDescent="0.25"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15"/>
      <c r="AK124" s="15"/>
      <c r="AL124" s="15"/>
      <c r="AM124" s="15"/>
      <c r="AN124" s="15"/>
      <c r="AO124" s="15"/>
      <c r="AP124" s="15"/>
    </row>
    <row r="125" spans="2:42" hidden="1" x14ac:dyDescent="0.25"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15"/>
      <c r="AK125" s="15"/>
      <c r="AL125" s="15"/>
      <c r="AM125" s="15"/>
      <c r="AN125" s="15"/>
      <c r="AO125" s="15"/>
      <c r="AP125" s="15"/>
    </row>
    <row r="126" spans="2:42" hidden="1" x14ac:dyDescent="0.25"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15"/>
      <c r="AK126" s="15"/>
      <c r="AL126" s="15"/>
      <c r="AM126" s="15"/>
      <c r="AN126" s="15"/>
      <c r="AO126" s="15"/>
      <c r="AP126" s="15"/>
    </row>
    <row r="127" spans="2:42" hidden="1" x14ac:dyDescent="0.25"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15"/>
      <c r="AK127" s="15"/>
      <c r="AL127" s="15"/>
      <c r="AM127" s="15"/>
      <c r="AN127" s="15"/>
      <c r="AO127" s="15"/>
      <c r="AP127" s="15"/>
    </row>
    <row r="128" spans="2:42" hidden="1" x14ac:dyDescent="0.25"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15"/>
      <c r="AK128" s="15"/>
      <c r="AL128" s="15"/>
      <c r="AM128" s="15"/>
      <c r="AN128" s="15"/>
      <c r="AO128" s="15"/>
      <c r="AP128" s="15"/>
    </row>
    <row r="129" spans="2:42" hidden="1" x14ac:dyDescent="0.25"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15"/>
      <c r="AK129" s="15"/>
      <c r="AL129" s="15"/>
      <c r="AM129" s="15"/>
      <c r="AN129" s="15"/>
      <c r="AO129" s="15"/>
      <c r="AP129" s="15"/>
    </row>
    <row r="130" spans="2:42" hidden="1" x14ac:dyDescent="0.25"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15"/>
      <c r="AK130" s="15"/>
      <c r="AL130" s="15"/>
      <c r="AM130" s="15"/>
      <c r="AN130" s="15"/>
      <c r="AO130" s="15"/>
      <c r="AP130" s="15"/>
    </row>
    <row r="131" spans="2:42" hidden="1" x14ac:dyDescent="0.25"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15"/>
      <c r="AK131" s="15"/>
      <c r="AL131" s="15"/>
      <c r="AM131" s="15"/>
      <c r="AN131" s="15"/>
      <c r="AO131" s="15"/>
      <c r="AP131" s="15"/>
    </row>
    <row r="132" spans="2:42" hidden="1" x14ac:dyDescent="0.25"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15"/>
      <c r="AK132" s="15"/>
      <c r="AL132" s="15"/>
      <c r="AM132" s="15"/>
      <c r="AN132" s="15"/>
      <c r="AO132" s="15"/>
      <c r="AP132" s="15"/>
    </row>
    <row r="133" spans="2:42" hidden="1" x14ac:dyDescent="0.25"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15"/>
      <c r="AK133" s="15"/>
      <c r="AL133" s="15"/>
      <c r="AM133" s="15"/>
      <c r="AN133" s="15"/>
      <c r="AO133" s="15"/>
      <c r="AP133" s="15"/>
    </row>
    <row r="134" spans="2:42" hidden="1" x14ac:dyDescent="0.25"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15"/>
      <c r="AK134" s="15"/>
      <c r="AL134" s="15"/>
      <c r="AM134" s="15"/>
      <c r="AN134" s="15"/>
      <c r="AO134" s="15"/>
      <c r="AP134" s="15"/>
    </row>
    <row r="135" spans="2:42" hidden="1" x14ac:dyDescent="0.25"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15"/>
      <c r="AK135" s="15"/>
      <c r="AL135" s="15"/>
      <c r="AM135" s="15"/>
      <c r="AN135" s="15"/>
      <c r="AO135" s="15"/>
      <c r="AP135" s="15"/>
    </row>
    <row r="136" spans="2:42" hidden="1" x14ac:dyDescent="0.25"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15"/>
      <c r="AK136" s="15"/>
      <c r="AL136" s="15"/>
      <c r="AM136" s="15"/>
      <c r="AN136" s="15"/>
      <c r="AO136" s="15"/>
      <c r="AP136" s="15"/>
    </row>
    <row r="137" spans="2:42" hidden="1" x14ac:dyDescent="0.25"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15"/>
      <c r="AK137" s="15"/>
      <c r="AL137" s="15"/>
      <c r="AM137" s="15"/>
      <c r="AN137" s="15"/>
      <c r="AO137" s="15"/>
      <c r="AP137" s="15"/>
    </row>
    <row r="138" spans="2:42" hidden="1" x14ac:dyDescent="0.25"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15"/>
      <c r="AK138" s="15"/>
      <c r="AL138" s="15"/>
      <c r="AM138" s="15"/>
      <c r="AN138" s="15"/>
      <c r="AO138" s="15"/>
      <c r="AP138" s="15"/>
    </row>
    <row r="139" spans="2:42" hidden="1" x14ac:dyDescent="0.25"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15"/>
      <c r="AK139" s="15"/>
      <c r="AL139" s="15"/>
      <c r="AM139" s="15"/>
      <c r="AN139" s="15"/>
      <c r="AO139" s="15"/>
      <c r="AP139" s="15"/>
    </row>
    <row r="140" spans="2:42" hidden="1" x14ac:dyDescent="0.25"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15"/>
      <c r="AK140" s="15"/>
      <c r="AL140" s="15"/>
      <c r="AM140" s="15"/>
      <c r="AN140" s="15"/>
      <c r="AO140" s="15"/>
      <c r="AP140" s="15"/>
    </row>
    <row r="141" spans="2:42" hidden="1" x14ac:dyDescent="0.25"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15"/>
      <c r="AK141" s="15"/>
      <c r="AL141" s="15"/>
      <c r="AM141" s="15"/>
      <c r="AN141" s="15"/>
      <c r="AO141" s="15"/>
      <c r="AP141" s="15"/>
    </row>
    <row r="142" spans="2:42" hidden="1" x14ac:dyDescent="0.25"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15"/>
      <c r="AK142" s="15"/>
      <c r="AL142" s="15"/>
      <c r="AM142" s="15"/>
      <c r="AN142" s="15"/>
      <c r="AO142" s="15"/>
      <c r="AP142" s="15"/>
    </row>
    <row r="143" spans="2:42" hidden="1" x14ac:dyDescent="0.25"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15"/>
      <c r="AK143" s="15"/>
      <c r="AL143" s="15"/>
      <c r="AM143" s="15"/>
      <c r="AN143" s="15"/>
      <c r="AO143" s="15"/>
      <c r="AP143" s="15"/>
    </row>
    <row r="144" spans="2:42" hidden="1" x14ac:dyDescent="0.25"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15"/>
      <c r="AK144" s="15"/>
      <c r="AL144" s="15"/>
      <c r="AM144" s="15"/>
      <c r="AN144" s="15"/>
      <c r="AO144" s="15"/>
      <c r="AP144" s="15"/>
    </row>
    <row r="145" spans="2:42" hidden="1" x14ac:dyDescent="0.25"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15"/>
      <c r="AK145" s="15"/>
      <c r="AL145" s="15"/>
      <c r="AM145" s="15"/>
      <c r="AN145" s="15"/>
      <c r="AO145" s="15"/>
      <c r="AP145" s="15"/>
    </row>
    <row r="146" spans="2:42" hidden="1" x14ac:dyDescent="0.25"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15"/>
      <c r="AK146" s="15"/>
      <c r="AL146" s="15"/>
      <c r="AM146" s="15"/>
      <c r="AN146" s="15"/>
      <c r="AO146" s="15"/>
      <c r="AP146" s="15"/>
    </row>
    <row r="147" spans="2:42" hidden="1" x14ac:dyDescent="0.25"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15"/>
      <c r="AK147" s="15"/>
      <c r="AL147" s="15"/>
      <c r="AM147" s="15"/>
      <c r="AN147" s="15"/>
      <c r="AO147" s="15"/>
      <c r="AP147" s="15"/>
    </row>
    <row r="148" spans="2:42" hidden="1" x14ac:dyDescent="0.25"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15"/>
      <c r="AK148" s="15"/>
      <c r="AL148" s="15"/>
      <c r="AM148" s="15"/>
      <c r="AN148" s="15"/>
      <c r="AO148" s="15"/>
      <c r="AP148" s="15"/>
    </row>
    <row r="149" spans="2:42" hidden="1" x14ac:dyDescent="0.25"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15"/>
      <c r="AK149" s="15"/>
      <c r="AL149" s="15"/>
      <c r="AM149" s="15"/>
      <c r="AN149" s="15"/>
      <c r="AO149" s="15"/>
      <c r="AP149" s="15"/>
    </row>
    <row r="150" spans="2:42" hidden="1" x14ac:dyDescent="0.25"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15"/>
      <c r="AK150" s="15"/>
      <c r="AL150" s="15"/>
      <c r="AM150" s="15"/>
      <c r="AN150" s="15"/>
      <c r="AO150" s="15"/>
      <c r="AP150" s="15"/>
    </row>
    <row r="151" spans="2:42" hidden="1" x14ac:dyDescent="0.25"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15"/>
      <c r="AK151" s="15"/>
      <c r="AL151" s="15"/>
      <c r="AM151" s="15"/>
      <c r="AN151" s="15"/>
      <c r="AO151" s="15"/>
      <c r="AP151" s="15"/>
    </row>
    <row r="152" spans="2:42" hidden="1" x14ac:dyDescent="0.25"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15"/>
      <c r="AK152" s="15"/>
      <c r="AL152" s="15"/>
      <c r="AM152" s="15"/>
      <c r="AN152" s="15"/>
      <c r="AO152" s="15"/>
      <c r="AP152" s="15"/>
    </row>
    <row r="153" spans="2:42" hidden="1" x14ac:dyDescent="0.25"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15"/>
      <c r="AK153" s="15"/>
      <c r="AL153" s="15"/>
      <c r="AM153" s="15"/>
      <c r="AN153" s="15"/>
      <c r="AO153" s="15"/>
      <c r="AP153" s="15"/>
    </row>
    <row r="154" spans="2:42" hidden="1" x14ac:dyDescent="0.25"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15"/>
      <c r="AK154" s="15"/>
      <c r="AL154" s="15"/>
      <c r="AM154" s="15"/>
      <c r="AN154" s="15"/>
      <c r="AO154" s="15"/>
      <c r="AP154" s="15"/>
    </row>
    <row r="155" spans="2:42" hidden="1" x14ac:dyDescent="0.25"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15"/>
      <c r="AK155" s="15"/>
      <c r="AL155" s="15"/>
      <c r="AM155" s="15"/>
      <c r="AN155" s="15"/>
      <c r="AO155" s="15"/>
      <c r="AP155" s="15"/>
    </row>
    <row r="156" spans="2:42" hidden="1" x14ac:dyDescent="0.25"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15"/>
      <c r="AK156" s="15"/>
      <c r="AL156" s="15"/>
      <c r="AM156" s="15"/>
      <c r="AN156" s="15"/>
      <c r="AO156" s="15"/>
      <c r="AP156" s="15"/>
    </row>
    <row r="157" spans="2:42" hidden="1" x14ac:dyDescent="0.25"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15"/>
      <c r="AK157" s="15"/>
      <c r="AL157" s="15"/>
      <c r="AM157" s="15"/>
      <c r="AN157" s="15"/>
      <c r="AO157" s="15"/>
      <c r="AP157" s="15"/>
    </row>
    <row r="158" spans="2:42" hidden="1" x14ac:dyDescent="0.25"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15"/>
      <c r="AK158" s="15"/>
      <c r="AL158" s="15"/>
      <c r="AM158" s="15"/>
      <c r="AN158" s="15"/>
      <c r="AO158" s="15"/>
      <c r="AP158" s="15"/>
    </row>
    <row r="159" spans="2:42" hidden="1" x14ac:dyDescent="0.25"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15"/>
      <c r="AK159" s="15"/>
      <c r="AL159" s="15"/>
      <c r="AM159" s="15"/>
      <c r="AN159" s="15"/>
      <c r="AO159" s="15"/>
      <c r="AP159" s="15"/>
    </row>
    <row r="160" spans="2:42" hidden="1" x14ac:dyDescent="0.25"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15"/>
      <c r="AK160" s="15"/>
      <c r="AL160" s="15"/>
      <c r="AM160" s="15"/>
      <c r="AN160" s="15"/>
      <c r="AO160" s="15"/>
      <c r="AP160" s="15"/>
    </row>
    <row r="161" spans="2:42" hidden="1" x14ac:dyDescent="0.25"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15"/>
      <c r="AK161" s="15"/>
      <c r="AL161" s="15"/>
      <c r="AM161" s="15"/>
      <c r="AN161" s="15"/>
      <c r="AO161" s="15"/>
      <c r="AP161" s="15"/>
    </row>
    <row r="162" spans="2:42" hidden="1" x14ac:dyDescent="0.25"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15"/>
      <c r="AK162" s="15"/>
      <c r="AL162" s="15"/>
      <c r="AM162" s="15"/>
      <c r="AN162" s="15"/>
      <c r="AO162" s="15"/>
      <c r="AP162" s="15"/>
    </row>
    <row r="163" spans="2:42" hidden="1" x14ac:dyDescent="0.25"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15"/>
      <c r="AK163" s="15"/>
      <c r="AL163" s="15"/>
      <c r="AM163" s="15"/>
      <c r="AN163" s="15"/>
      <c r="AO163" s="15"/>
      <c r="AP163" s="15"/>
    </row>
    <row r="164" spans="2:42" hidden="1" x14ac:dyDescent="0.25"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15"/>
      <c r="AK164" s="15"/>
      <c r="AL164" s="15"/>
      <c r="AM164" s="15"/>
      <c r="AN164" s="15"/>
      <c r="AO164" s="15"/>
      <c r="AP164" s="15"/>
    </row>
    <row r="165" spans="2:42" hidden="1" x14ac:dyDescent="0.25"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15"/>
      <c r="AK165" s="15"/>
      <c r="AL165" s="15"/>
      <c r="AM165" s="15"/>
      <c r="AN165" s="15"/>
      <c r="AO165" s="15"/>
      <c r="AP165" s="15"/>
    </row>
    <row r="166" spans="2:42" hidden="1" x14ac:dyDescent="0.25"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15"/>
      <c r="AK166" s="15"/>
      <c r="AL166" s="15"/>
      <c r="AM166" s="15"/>
      <c r="AN166" s="15"/>
      <c r="AO166" s="15"/>
      <c r="AP166" s="15"/>
    </row>
    <row r="167" spans="2:42" hidden="1" x14ac:dyDescent="0.25"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15"/>
      <c r="AK167" s="15"/>
      <c r="AL167" s="15"/>
      <c r="AM167" s="15"/>
      <c r="AN167" s="15"/>
      <c r="AO167" s="15"/>
      <c r="AP167" s="15"/>
    </row>
    <row r="168" spans="2:42" hidden="1" x14ac:dyDescent="0.25"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15"/>
      <c r="AK168" s="15"/>
      <c r="AL168" s="15"/>
      <c r="AM168" s="15"/>
      <c r="AN168" s="15"/>
      <c r="AO168" s="15"/>
      <c r="AP168" s="15"/>
    </row>
    <row r="169" spans="2:42" hidden="1" x14ac:dyDescent="0.25"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15"/>
      <c r="AK169" s="15"/>
      <c r="AL169" s="15"/>
      <c r="AM169" s="15"/>
      <c r="AN169" s="15"/>
      <c r="AO169" s="15"/>
      <c r="AP169" s="15"/>
    </row>
    <row r="170" spans="2:42" hidden="1" x14ac:dyDescent="0.25"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15"/>
      <c r="AK170" s="15"/>
      <c r="AL170" s="15"/>
      <c r="AM170" s="15"/>
      <c r="AN170" s="15"/>
      <c r="AO170" s="15"/>
      <c r="AP170" s="15"/>
    </row>
    <row r="171" spans="2:42" hidden="1" x14ac:dyDescent="0.25"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15"/>
      <c r="AK171" s="15"/>
      <c r="AL171" s="15"/>
      <c r="AM171" s="15"/>
      <c r="AN171" s="15"/>
      <c r="AO171" s="15"/>
      <c r="AP171" s="15"/>
    </row>
    <row r="172" spans="2:42" hidden="1" x14ac:dyDescent="0.25"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15"/>
      <c r="AK172" s="15"/>
      <c r="AL172" s="15"/>
      <c r="AM172" s="15"/>
      <c r="AN172" s="15"/>
      <c r="AO172" s="15"/>
      <c r="AP172" s="15"/>
    </row>
    <row r="173" spans="2:42" hidden="1" x14ac:dyDescent="0.25"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15"/>
      <c r="AK173" s="15"/>
      <c r="AL173" s="15"/>
      <c r="AM173" s="15"/>
      <c r="AN173" s="15"/>
      <c r="AO173" s="15"/>
      <c r="AP173" s="15"/>
    </row>
    <row r="174" spans="2:42" hidden="1" x14ac:dyDescent="0.25"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15"/>
      <c r="AK174" s="15"/>
      <c r="AL174" s="15"/>
      <c r="AM174" s="15"/>
      <c r="AN174" s="15"/>
      <c r="AO174" s="15"/>
      <c r="AP174" s="15"/>
    </row>
    <row r="175" spans="2:42" hidden="1" x14ac:dyDescent="0.25"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15"/>
      <c r="AK175" s="15"/>
      <c r="AL175" s="15"/>
      <c r="AM175" s="15"/>
      <c r="AN175" s="15"/>
      <c r="AO175" s="15"/>
      <c r="AP175" s="15"/>
    </row>
    <row r="176" spans="2:42" hidden="1" x14ac:dyDescent="0.25"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15"/>
      <c r="AK176" s="15"/>
      <c r="AL176" s="15"/>
      <c r="AM176" s="15"/>
      <c r="AN176" s="15"/>
      <c r="AO176" s="15"/>
      <c r="AP176" s="15"/>
    </row>
    <row r="177" spans="2:42" hidden="1" x14ac:dyDescent="0.25"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15"/>
      <c r="AK177" s="15"/>
      <c r="AL177" s="15"/>
      <c r="AM177" s="15"/>
      <c r="AN177" s="15"/>
      <c r="AO177" s="15"/>
      <c r="AP177" s="15"/>
    </row>
    <row r="178" spans="2:42" hidden="1" x14ac:dyDescent="0.25"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15"/>
      <c r="AK178" s="15"/>
      <c r="AL178" s="15"/>
      <c r="AM178" s="15"/>
      <c r="AN178" s="15"/>
      <c r="AO178" s="15"/>
      <c r="AP178" s="15"/>
    </row>
    <row r="179" spans="2:42" hidden="1" x14ac:dyDescent="0.25"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15"/>
      <c r="AK179" s="15"/>
      <c r="AL179" s="15"/>
      <c r="AM179" s="15"/>
      <c r="AN179" s="15"/>
      <c r="AO179" s="15"/>
      <c r="AP179" s="15"/>
    </row>
    <row r="180" spans="2:42" hidden="1" x14ac:dyDescent="0.25"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15"/>
      <c r="AK180" s="15"/>
      <c r="AL180" s="15"/>
      <c r="AM180" s="15"/>
      <c r="AN180" s="15"/>
      <c r="AO180" s="15"/>
      <c r="AP180" s="15"/>
    </row>
    <row r="181" spans="2:42" hidden="1" x14ac:dyDescent="0.25"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15"/>
      <c r="AK181" s="15"/>
      <c r="AL181" s="15"/>
      <c r="AM181" s="15"/>
      <c r="AN181" s="15"/>
      <c r="AO181" s="15"/>
      <c r="AP181" s="15"/>
    </row>
    <row r="182" spans="2:42" hidden="1" x14ac:dyDescent="0.25"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15"/>
      <c r="AK182" s="15"/>
      <c r="AL182" s="15"/>
      <c r="AM182" s="15"/>
      <c r="AN182" s="15"/>
      <c r="AO182" s="15"/>
      <c r="AP182" s="15"/>
    </row>
    <row r="183" spans="2:42" hidden="1" x14ac:dyDescent="0.25"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15"/>
      <c r="AK183" s="15"/>
      <c r="AL183" s="15"/>
      <c r="AM183" s="15"/>
      <c r="AN183" s="15"/>
      <c r="AO183" s="15"/>
      <c r="AP183" s="15"/>
    </row>
    <row r="184" spans="2:42" hidden="1" x14ac:dyDescent="0.25"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15"/>
      <c r="AK184" s="15"/>
      <c r="AL184" s="15"/>
      <c r="AM184" s="15"/>
      <c r="AN184" s="15"/>
      <c r="AO184" s="15"/>
      <c r="AP184" s="15"/>
    </row>
    <row r="185" spans="2:42" hidden="1" x14ac:dyDescent="0.25"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15"/>
      <c r="AK185" s="15"/>
      <c r="AL185" s="15"/>
      <c r="AM185" s="15"/>
      <c r="AN185" s="15"/>
      <c r="AO185" s="15"/>
      <c r="AP185" s="15"/>
    </row>
    <row r="186" spans="2:42" hidden="1" x14ac:dyDescent="0.25"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15"/>
      <c r="AK186" s="15"/>
      <c r="AL186" s="15"/>
      <c r="AM186" s="15"/>
      <c r="AN186" s="15"/>
      <c r="AO186" s="15"/>
      <c r="AP186" s="15"/>
    </row>
    <row r="187" spans="2:42" hidden="1" x14ac:dyDescent="0.25"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15"/>
      <c r="AK187" s="15"/>
      <c r="AL187" s="15"/>
      <c r="AM187" s="15"/>
      <c r="AN187" s="15"/>
      <c r="AO187" s="15"/>
      <c r="AP187" s="15"/>
    </row>
    <row r="188" spans="2:42" hidden="1" x14ac:dyDescent="0.25"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15"/>
      <c r="AK188" s="15"/>
      <c r="AL188" s="15"/>
      <c r="AM188" s="15"/>
      <c r="AN188" s="15"/>
      <c r="AO188" s="15"/>
      <c r="AP188" s="15"/>
    </row>
    <row r="189" spans="2:42" hidden="1" x14ac:dyDescent="0.25"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15"/>
      <c r="AK189" s="15"/>
      <c r="AL189" s="15"/>
      <c r="AM189" s="15"/>
      <c r="AN189" s="15"/>
      <c r="AO189" s="15"/>
      <c r="AP189" s="15"/>
    </row>
    <row r="190" spans="2:42" hidden="1" x14ac:dyDescent="0.25"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15"/>
      <c r="AK190" s="15"/>
      <c r="AL190" s="15"/>
      <c r="AM190" s="15"/>
      <c r="AN190" s="15"/>
      <c r="AO190" s="15"/>
      <c r="AP190" s="15"/>
    </row>
    <row r="191" spans="2:42" hidden="1" x14ac:dyDescent="0.25"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15"/>
      <c r="AK191" s="15"/>
      <c r="AL191" s="15"/>
      <c r="AM191" s="15"/>
      <c r="AN191" s="15"/>
      <c r="AO191" s="15"/>
      <c r="AP191" s="15"/>
    </row>
    <row r="192" spans="2:42" hidden="1" x14ac:dyDescent="0.25"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15"/>
      <c r="AK192" s="15"/>
      <c r="AL192" s="15"/>
      <c r="AM192" s="15"/>
      <c r="AN192" s="15"/>
      <c r="AO192" s="15"/>
      <c r="AP192" s="15"/>
    </row>
    <row r="193" spans="2:42" hidden="1" x14ac:dyDescent="0.25"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15"/>
      <c r="AK193" s="15"/>
      <c r="AL193" s="15"/>
      <c r="AM193" s="15"/>
      <c r="AN193" s="15"/>
      <c r="AO193" s="15"/>
      <c r="AP193" s="15"/>
    </row>
    <row r="194" spans="2:42" hidden="1" x14ac:dyDescent="0.25"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15"/>
      <c r="AK194" s="15"/>
      <c r="AL194" s="15"/>
      <c r="AM194" s="15"/>
      <c r="AN194" s="15"/>
      <c r="AO194" s="15"/>
      <c r="AP194" s="15"/>
    </row>
    <row r="195" spans="2:42" hidden="1" x14ac:dyDescent="0.25"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15"/>
      <c r="AK195" s="15"/>
      <c r="AL195" s="15"/>
      <c r="AM195" s="15"/>
      <c r="AN195" s="15"/>
      <c r="AO195" s="15"/>
      <c r="AP195" s="15"/>
    </row>
    <row r="196" spans="2:42" hidden="1" x14ac:dyDescent="0.25"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15"/>
      <c r="AK196" s="15"/>
      <c r="AL196" s="15"/>
      <c r="AM196" s="15"/>
      <c r="AN196" s="15"/>
      <c r="AO196" s="15"/>
      <c r="AP196" s="15"/>
    </row>
    <row r="197" spans="2:42" hidden="1" x14ac:dyDescent="0.25"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15"/>
      <c r="AK197" s="15"/>
      <c r="AL197" s="15"/>
      <c r="AM197" s="15"/>
      <c r="AN197" s="15"/>
      <c r="AO197" s="15"/>
      <c r="AP197" s="15"/>
    </row>
    <row r="198" spans="2:42" hidden="1" x14ac:dyDescent="0.25"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15"/>
      <c r="AK198" s="15"/>
      <c r="AL198" s="15"/>
      <c r="AM198" s="15"/>
      <c r="AN198" s="15"/>
      <c r="AO198" s="15"/>
      <c r="AP198" s="15"/>
    </row>
    <row r="199" spans="2:42" hidden="1" x14ac:dyDescent="0.25"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15"/>
      <c r="AK199" s="15"/>
      <c r="AL199" s="15"/>
      <c r="AM199" s="15"/>
      <c r="AN199" s="15"/>
      <c r="AO199" s="15"/>
      <c r="AP199" s="15"/>
    </row>
    <row r="200" spans="2:42" hidden="1" x14ac:dyDescent="0.25"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15"/>
      <c r="AK200" s="15"/>
      <c r="AL200" s="15"/>
      <c r="AM200" s="15"/>
      <c r="AN200" s="15"/>
      <c r="AO200" s="15"/>
      <c r="AP200" s="15"/>
    </row>
    <row r="201" spans="2:42" hidden="1" x14ac:dyDescent="0.25"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15"/>
      <c r="AK201" s="15"/>
      <c r="AL201" s="15"/>
      <c r="AM201" s="15"/>
      <c r="AN201" s="15"/>
      <c r="AO201" s="15"/>
      <c r="AP201" s="15"/>
    </row>
    <row r="202" spans="2:42" hidden="1" x14ac:dyDescent="0.25"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15"/>
      <c r="AK202" s="15"/>
      <c r="AL202" s="15"/>
      <c r="AM202" s="15"/>
      <c r="AN202" s="15"/>
      <c r="AO202" s="15"/>
      <c r="AP202" s="15"/>
    </row>
    <row r="203" spans="2:42" hidden="1" x14ac:dyDescent="0.25"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15"/>
      <c r="AK203" s="15"/>
      <c r="AL203" s="15"/>
      <c r="AM203" s="15"/>
      <c r="AN203" s="15"/>
      <c r="AO203" s="15"/>
      <c r="AP203" s="15"/>
    </row>
    <row r="204" spans="2:42" hidden="1" x14ac:dyDescent="0.25"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15"/>
      <c r="AK204" s="15"/>
      <c r="AL204" s="15"/>
      <c r="AM204" s="15"/>
      <c r="AN204" s="15"/>
      <c r="AO204" s="15"/>
      <c r="AP204" s="15"/>
    </row>
    <row r="205" spans="2:42" hidden="1" x14ac:dyDescent="0.25"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15"/>
      <c r="AK205" s="15"/>
      <c r="AL205" s="15"/>
      <c r="AM205" s="15"/>
      <c r="AN205" s="15"/>
      <c r="AO205" s="15"/>
      <c r="AP205" s="15"/>
    </row>
    <row r="206" spans="2:42" hidden="1" x14ac:dyDescent="0.25"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15"/>
      <c r="AK206" s="15"/>
      <c r="AL206" s="15"/>
      <c r="AM206" s="15"/>
      <c r="AN206" s="15"/>
      <c r="AO206" s="15"/>
      <c r="AP206" s="15"/>
    </row>
    <row r="207" spans="2:42" hidden="1" x14ac:dyDescent="0.25"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15"/>
      <c r="AK207" s="15"/>
      <c r="AL207" s="15"/>
      <c r="AM207" s="15"/>
      <c r="AN207" s="15"/>
      <c r="AO207" s="15"/>
      <c r="AP207" s="15"/>
    </row>
    <row r="208" spans="2:42" hidden="1" x14ac:dyDescent="0.25"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15"/>
      <c r="AK208" s="15"/>
      <c r="AL208" s="15"/>
      <c r="AM208" s="15"/>
      <c r="AN208" s="15"/>
      <c r="AO208" s="15"/>
      <c r="AP208" s="15"/>
    </row>
    <row r="209" spans="2:42" hidden="1" x14ac:dyDescent="0.25"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15"/>
      <c r="AK209" s="15"/>
      <c r="AL209" s="15"/>
      <c r="AM209" s="15"/>
      <c r="AN209" s="15"/>
      <c r="AO209" s="15"/>
      <c r="AP209" s="15"/>
    </row>
    <row r="210" spans="2:42" hidden="1" x14ac:dyDescent="0.25"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15"/>
      <c r="AK210" s="15"/>
      <c r="AL210" s="15"/>
      <c r="AM210" s="15"/>
      <c r="AN210" s="15"/>
      <c r="AO210" s="15"/>
      <c r="AP210" s="15"/>
    </row>
    <row r="211" spans="2:42" hidden="1" x14ac:dyDescent="0.25"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15"/>
      <c r="AK211" s="15"/>
      <c r="AL211" s="15"/>
      <c r="AM211" s="15"/>
      <c r="AN211" s="15"/>
      <c r="AO211" s="15"/>
      <c r="AP211" s="15"/>
    </row>
    <row r="212" spans="2:42" hidden="1" x14ac:dyDescent="0.25"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15"/>
      <c r="AK212" s="15"/>
      <c r="AL212" s="15"/>
      <c r="AM212" s="15"/>
      <c r="AN212" s="15"/>
      <c r="AO212" s="15"/>
      <c r="AP212" s="15"/>
    </row>
    <row r="213" spans="2:42" hidden="1" x14ac:dyDescent="0.25"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15"/>
      <c r="AK213" s="15"/>
      <c r="AL213" s="15"/>
      <c r="AM213" s="15"/>
      <c r="AN213" s="15"/>
      <c r="AO213" s="15"/>
      <c r="AP213" s="15"/>
    </row>
    <row r="214" spans="2:42" hidden="1" x14ac:dyDescent="0.25"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15"/>
      <c r="AK214" s="15"/>
      <c r="AL214" s="15"/>
      <c r="AM214" s="15"/>
      <c r="AN214" s="15"/>
      <c r="AO214" s="15"/>
      <c r="AP214" s="15"/>
    </row>
    <row r="215" spans="2:42" hidden="1" x14ac:dyDescent="0.25"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15"/>
      <c r="AK215" s="15"/>
      <c r="AL215" s="15"/>
      <c r="AM215" s="15"/>
      <c r="AN215" s="15"/>
      <c r="AO215" s="15"/>
      <c r="AP215" s="15"/>
    </row>
    <row r="216" spans="2:42" hidden="1" x14ac:dyDescent="0.25"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15"/>
      <c r="AK216" s="15"/>
      <c r="AL216" s="15"/>
      <c r="AM216" s="15"/>
      <c r="AN216" s="15"/>
      <c r="AO216" s="15"/>
      <c r="AP216" s="15"/>
    </row>
    <row r="217" spans="2:42" hidden="1" x14ac:dyDescent="0.25"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15"/>
      <c r="AK217" s="15"/>
      <c r="AL217" s="15"/>
      <c r="AM217" s="15"/>
      <c r="AN217" s="15"/>
      <c r="AO217" s="15"/>
      <c r="AP217" s="15"/>
    </row>
    <row r="218" spans="2:42" hidden="1" x14ac:dyDescent="0.25"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15"/>
      <c r="AK218" s="15"/>
      <c r="AL218" s="15"/>
      <c r="AM218" s="15"/>
      <c r="AN218" s="15"/>
      <c r="AO218" s="15"/>
      <c r="AP218" s="15"/>
    </row>
    <row r="219" spans="2:42" hidden="1" x14ac:dyDescent="0.25"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15"/>
      <c r="AK219" s="15"/>
      <c r="AL219" s="15"/>
      <c r="AM219" s="15"/>
      <c r="AN219" s="15"/>
      <c r="AO219" s="15"/>
      <c r="AP219" s="15"/>
    </row>
    <row r="220" spans="2:42" hidden="1" x14ac:dyDescent="0.25"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15"/>
      <c r="AK220" s="15"/>
      <c r="AL220" s="15"/>
      <c r="AM220" s="15"/>
      <c r="AN220" s="15"/>
      <c r="AO220" s="15"/>
      <c r="AP220" s="15"/>
    </row>
    <row r="221" spans="2:42" hidden="1" x14ac:dyDescent="0.25"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15"/>
      <c r="AK221" s="15"/>
      <c r="AL221" s="15"/>
      <c r="AM221" s="15"/>
      <c r="AN221" s="15"/>
      <c r="AO221" s="15"/>
      <c r="AP221" s="15"/>
    </row>
    <row r="222" spans="2:42" hidden="1" x14ac:dyDescent="0.25"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15"/>
      <c r="AK222" s="15"/>
      <c r="AL222" s="15"/>
      <c r="AM222" s="15"/>
      <c r="AN222" s="15"/>
      <c r="AO222" s="15"/>
      <c r="AP222" s="15"/>
    </row>
    <row r="223" spans="2:42" hidden="1" x14ac:dyDescent="0.25"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15"/>
      <c r="AK223" s="15"/>
      <c r="AL223" s="15"/>
      <c r="AM223" s="15"/>
      <c r="AN223" s="15"/>
      <c r="AO223" s="15"/>
      <c r="AP223" s="15"/>
    </row>
    <row r="224" spans="2:42" hidden="1" x14ac:dyDescent="0.25"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15"/>
      <c r="AK224" s="15"/>
      <c r="AL224" s="15"/>
      <c r="AM224" s="15"/>
      <c r="AN224" s="15"/>
      <c r="AO224" s="15"/>
      <c r="AP224" s="15"/>
    </row>
    <row r="225" spans="2:42" hidden="1" x14ac:dyDescent="0.25"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15"/>
      <c r="AK225" s="15"/>
      <c r="AL225" s="15"/>
      <c r="AM225" s="15"/>
      <c r="AN225" s="15"/>
      <c r="AO225" s="15"/>
      <c r="AP225" s="15"/>
    </row>
    <row r="226" spans="2:42" hidden="1" x14ac:dyDescent="0.25"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15"/>
      <c r="AK226" s="15"/>
      <c r="AL226" s="15"/>
      <c r="AM226" s="15"/>
      <c r="AN226" s="15"/>
      <c r="AO226" s="15"/>
      <c r="AP226" s="15"/>
    </row>
    <row r="227" spans="2:42" hidden="1" x14ac:dyDescent="0.25"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15"/>
      <c r="AK227" s="15"/>
      <c r="AL227" s="15"/>
      <c r="AM227" s="15"/>
      <c r="AN227" s="15"/>
      <c r="AO227" s="15"/>
      <c r="AP227" s="15"/>
    </row>
    <row r="228" spans="2:42" hidden="1" x14ac:dyDescent="0.25"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15"/>
      <c r="AK228" s="15"/>
      <c r="AL228" s="15"/>
      <c r="AM228" s="15"/>
      <c r="AN228" s="15"/>
      <c r="AO228" s="15"/>
      <c r="AP228" s="15"/>
    </row>
    <row r="229" spans="2:42" hidden="1" x14ac:dyDescent="0.25"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15"/>
      <c r="AK229" s="15"/>
      <c r="AL229" s="15"/>
      <c r="AM229" s="15"/>
      <c r="AN229" s="15"/>
      <c r="AO229" s="15"/>
      <c r="AP229" s="15"/>
    </row>
    <row r="230" spans="2:42" hidden="1" x14ac:dyDescent="0.25"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15"/>
      <c r="AK230" s="15"/>
      <c r="AL230" s="15"/>
      <c r="AM230" s="15"/>
      <c r="AN230" s="15"/>
      <c r="AO230" s="15"/>
      <c r="AP230" s="15"/>
    </row>
    <row r="231" spans="2:42" hidden="1" x14ac:dyDescent="0.25"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15"/>
      <c r="AK231" s="15"/>
      <c r="AL231" s="15"/>
      <c r="AM231" s="15"/>
      <c r="AN231" s="15"/>
      <c r="AO231" s="15"/>
      <c r="AP231" s="15"/>
    </row>
    <row r="232" spans="2:42" hidden="1" x14ac:dyDescent="0.25"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15"/>
      <c r="AK232" s="15"/>
      <c r="AL232" s="15"/>
      <c r="AM232" s="15"/>
      <c r="AN232" s="15"/>
      <c r="AO232" s="15"/>
      <c r="AP232" s="15"/>
    </row>
    <row r="233" spans="2:42" hidden="1" x14ac:dyDescent="0.25"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15"/>
      <c r="AK233" s="15"/>
      <c r="AL233" s="15"/>
      <c r="AM233" s="15"/>
      <c r="AN233" s="15"/>
      <c r="AO233" s="15"/>
      <c r="AP233" s="15"/>
    </row>
    <row r="234" spans="2:42" hidden="1" x14ac:dyDescent="0.25"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15"/>
      <c r="AK234" s="15"/>
      <c r="AL234" s="15"/>
      <c r="AM234" s="15"/>
      <c r="AN234" s="15"/>
      <c r="AO234" s="15"/>
      <c r="AP234" s="15"/>
    </row>
    <row r="235" spans="2:42" hidden="1" x14ac:dyDescent="0.25"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15"/>
      <c r="AK235" s="15"/>
      <c r="AL235" s="15"/>
      <c r="AM235" s="15"/>
      <c r="AN235" s="15"/>
      <c r="AO235" s="15"/>
      <c r="AP235" s="15"/>
    </row>
    <row r="236" spans="2:42" hidden="1" x14ac:dyDescent="0.25"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15"/>
      <c r="AK236" s="15"/>
      <c r="AL236" s="15"/>
      <c r="AM236" s="15"/>
      <c r="AN236" s="15"/>
      <c r="AO236" s="15"/>
      <c r="AP236" s="15"/>
    </row>
    <row r="237" spans="2:42" hidden="1" x14ac:dyDescent="0.25"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15"/>
      <c r="AK237" s="15"/>
      <c r="AL237" s="15"/>
      <c r="AM237" s="15"/>
      <c r="AN237" s="15"/>
      <c r="AO237" s="15"/>
      <c r="AP237" s="15"/>
    </row>
    <row r="238" spans="2:42" hidden="1" x14ac:dyDescent="0.25"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15"/>
      <c r="AK238" s="15"/>
      <c r="AL238" s="15"/>
      <c r="AM238" s="15"/>
      <c r="AN238" s="15"/>
      <c r="AO238" s="15"/>
      <c r="AP238" s="15"/>
    </row>
    <row r="239" spans="2:42" hidden="1" x14ac:dyDescent="0.25"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15"/>
      <c r="AK239" s="15"/>
      <c r="AL239" s="15"/>
      <c r="AM239" s="15"/>
      <c r="AN239" s="15"/>
      <c r="AO239" s="15"/>
      <c r="AP239" s="15"/>
    </row>
    <row r="240" spans="2:42" hidden="1" x14ac:dyDescent="0.25"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15"/>
      <c r="AK240" s="15"/>
      <c r="AL240" s="15"/>
      <c r="AM240" s="15"/>
      <c r="AN240" s="15"/>
      <c r="AO240" s="15"/>
      <c r="AP240" s="15"/>
    </row>
    <row r="241" spans="2:42" hidden="1" x14ac:dyDescent="0.25"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15"/>
      <c r="AK241" s="15"/>
      <c r="AL241" s="15"/>
      <c r="AM241" s="15"/>
      <c r="AN241" s="15"/>
      <c r="AO241" s="15"/>
      <c r="AP241" s="15"/>
    </row>
    <row r="242" spans="2:42" hidden="1" x14ac:dyDescent="0.25"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15"/>
      <c r="AK242" s="15"/>
      <c r="AL242" s="15"/>
      <c r="AM242" s="15"/>
      <c r="AN242" s="15"/>
      <c r="AO242" s="15"/>
      <c r="AP242" s="15"/>
    </row>
    <row r="243" spans="2:42" hidden="1" x14ac:dyDescent="0.25"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15"/>
      <c r="AK243" s="15"/>
      <c r="AL243" s="15"/>
      <c r="AM243" s="15"/>
      <c r="AN243" s="15"/>
      <c r="AO243" s="15"/>
      <c r="AP243" s="15"/>
    </row>
    <row r="244" spans="2:42" hidden="1" x14ac:dyDescent="0.25"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15"/>
      <c r="AK244" s="15"/>
      <c r="AL244" s="15"/>
      <c r="AM244" s="15"/>
      <c r="AN244" s="15"/>
      <c r="AO244" s="15"/>
      <c r="AP244" s="15"/>
    </row>
    <row r="245" spans="2:42" hidden="1" x14ac:dyDescent="0.25"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15"/>
      <c r="AK245" s="15"/>
      <c r="AL245" s="15"/>
      <c r="AM245" s="15"/>
      <c r="AN245" s="15"/>
      <c r="AO245" s="15"/>
      <c r="AP245" s="15"/>
    </row>
    <row r="246" spans="2:42" hidden="1" x14ac:dyDescent="0.25"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15"/>
      <c r="AK246" s="15"/>
      <c r="AL246" s="15"/>
      <c r="AM246" s="15"/>
      <c r="AN246" s="15"/>
      <c r="AO246" s="15"/>
      <c r="AP246" s="15"/>
    </row>
    <row r="247" spans="2:42" hidden="1" x14ac:dyDescent="0.25"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15"/>
      <c r="AK247" s="15"/>
      <c r="AL247" s="15"/>
      <c r="AM247" s="15"/>
      <c r="AN247" s="15"/>
      <c r="AO247" s="15"/>
      <c r="AP247" s="15"/>
    </row>
    <row r="248" spans="2:42" hidden="1" x14ac:dyDescent="0.25"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15"/>
      <c r="AK248" s="15"/>
      <c r="AL248" s="15"/>
      <c r="AM248" s="15"/>
      <c r="AN248" s="15"/>
      <c r="AO248" s="15"/>
      <c r="AP248" s="15"/>
    </row>
    <row r="249" spans="2:42" hidden="1" x14ac:dyDescent="0.25"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15"/>
      <c r="AK249" s="15"/>
      <c r="AL249" s="15"/>
      <c r="AM249" s="15"/>
      <c r="AN249" s="15"/>
      <c r="AO249" s="15"/>
      <c r="AP249" s="15"/>
    </row>
    <row r="250" spans="2:42" hidden="1" x14ac:dyDescent="0.25"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15"/>
      <c r="AK250" s="15"/>
      <c r="AL250" s="15"/>
      <c r="AM250" s="15"/>
      <c r="AN250" s="15"/>
      <c r="AO250" s="15"/>
      <c r="AP250" s="15"/>
    </row>
    <row r="251" spans="2:42" hidden="1" x14ac:dyDescent="0.25"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15"/>
      <c r="AK251" s="15"/>
      <c r="AL251" s="15"/>
      <c r="AM251" s="15"/>
      <c r="AN251" s="15"/>
      <c r="AO251" s="15"/>
      <c r="AP251" s="15"/>
    </row>
    <row r="252" spans="2:42" hidden="1" x14ac:dyDescent="0.25"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15"/>
      <c r="AK252" s="15"/>
      <c r="AL252" s="15"/>
      <c r="AM252" s="15"/>
      <c r="AN252" s="15"/>
      <c r="AO252" s="15"/>
      <c r="AP252" s="15"/>
    </row>
    <row r="253" spans="2:42" hidden="1" x14ac:dyDescent="0.25"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15"/>
      <c r="AK253" s="15"/>
      <c r="AL253" s="15"/>
      <c r="AM253" s="15"/>
      <c r="AN253" s="15"/>
      <c r="AO253" s="15"/>
      <c r="AP253" s="15"/>
    </row>
    <row r="254" spans="2:42" hidden="1" x14ac:dyDescent="0.25"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15"/>
      <c r="AK254" s="15"/>
      <c r="AL254" s="15"/>
      <c r="AM254" s="15"/>
      <c r="AN254" s="15"/>
      <c r="AO254" s="15"/>
      <c r="AP254" s="15"/>
    </row>
    <row r="255" spans="2:42" hidden="1" x14ac:dyDescent="0.25"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15"/>
      <c r="AK255" s="15"/>
      <c r="AL255" s="15"/>
      <c r="AM255" s="15"/>
      <c r="AN255" s="15"/>
      <c r="AO255" s="15"/>
      <c r="AP255" s="15"/>
    </row>
    <row r="256" spans="2:42" hidden="1" x14ac:dyDescent="0.25"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15"/>
      <c r="AK256" s="15"/>
      <c r="AL256" s="15"/>
      <c r="AM256" s="15"/>
      <c r="AN256" s="15"/>
      <c r="AO256" s="15"/>
      <c r="AP256" s="15"/>
    </row>
    <row r="257" spans="2:42" hidden="1" x14ac:dyDescent="0.25"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15"/>
      <c r="AK257" s="15"/>
      <c r="AL257" s="15"/>
      <c r="AM257" s="15"/>
      <c r="AN257" s="15"/>
      <c r="AO257" s="15"/>
      <c r="AP257" s="15"/>
    </row>
    <row r="258" spans="2:42" hidden="1" x14ac:dyDescent="0.25"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15"/>
      <c r="AK258" s="15"/>
      <c r="AL258" s="15"/>
      <c r="AM258" s="15"/>
      <c r="AN258" s="15"/>
      <c r="AO258" s="15"/>
      <c r="AP258" s="15"/>
    </row>
    <row r="259" spans="2:42" hidden="1" x14ac:dyDescent="0.25"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15"/>
      <c r="AK259" s="15"/>
      <c r="AL259" s="15"/>
      <c r="AM259" s="15"/>
      <c r="AN259" s="15"/>
      <c r="AO259" s="15"/>
      <c r="AP259" s="15"/>
    </row>
    <row r="260" spans="2:42" hidden="1" x14ac:dyDescent="0.25"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15"/>
      <c r="AK260" s="15"/>
      <c r="AL260" s="15"/>
      <c r="AM260" s="15"/>
      <c r="AN260" s="15"/>
      <c r="AO260" s="15"/>
      <c r="AP260" s="15"/>
    </row>
    <row r="261" spans="2:42" hidden="1" x14ac:dyDescent="0.25"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15"/>
      <c r="AK261" s="15"/>
      <c r="AL261" s="15"/>
      <c r="AM261" s="15"/>
      <c r="AN261" s="15"/>
      <c r="AO261" s="15"/>
      <c r="AP261" s="15"/>
    </row>
    <row r="262" spans="2:42" hidden="1" x14ac:dyDescent="0.25"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15"/>
      <c r="AK262" s="15"/>
      <c r="AL262" s="15"/>
      <c r="AM262" s="15"/>
      <c r="AN262" s="15"/>
      <c r="AO262" s="15"/>
      <c r="AP262" s="15"/>
    </row>
    <row r="263" spans="2:42" hidden="1" x14ac:dyDescent="0.25"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15"/>
      <c r="AK263" s="15"/>
      <c r="AL263" s="15"/>
      <c r="AM263" s="15"/>
      <c r="AN263" s="15"/>
      <c r="AO263" s="15"/>
      <c r="AP263" s="15"/>
    </row>
    <row r="264" spans="2:42" hidden="1" x14ac:dyDescent="0.25"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15"/>
      <c r="AK264" s="15"/>
      <c r="AL264" s="15"/>
      <c r="AM264" s="15"/>
      <c r="AN264" s="15"/>
      <c r="AO264" s="15"/>
      <c r="AP264" s="15"/>
    </row>
    <row r="265" spans="2:42" hidden="1" x14ac:dyDescent="0.25"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15"/>
      <c r="AK265" s="15"/>
      <c r="AL265" s="15"/>
      <c r="AM265" s="15"/>
      <c r="AN265" s="15"/>
      <c r="AO265" s="15"/>
      <c r="AP265" s="15"/>
    </row>
    <row r="266" spans="2:42" hidden="1" x14ac:dyDescent="0.25"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15"/>
      <c r="AK266" s="15"/>
      <c r="AL266" s="15"/>
      <c r="AM266" s="15"/>
      <c r="AN266" s="15"/>
      <c r="AO266" s="15"/>
      <c r="AP266" s="15"/>
    </row>
    <row r="267" spans="2:42" hidden="1" x14ac:dyDescent="0.25"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15"/>
      <c r="AK267" s="15"/>
      <c r="AL267" s="15"/>
      <c r="AM267" s="15"/>
      <c r="AN267" s="15"/>
      <c r="AO267" s="15"/>
      <c r="AP267" s="15"/>
    </row>
    <row r="268" spans="2:42" hidden="1" x14ac:dyDescent="0.25"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15"/>
      <c r="AK268" s="15"/>
      <c r="AL268" s="15"/>
      <c r="AM268" s="15"/>
      <c r="AN268" s="15"/>
      <c r="AO268" s="15"/>
      <c r="AP268" s="15"/>
    </row>
    <row r="269" spans="2:42" hidden="1" x14ac:dyDescent="0.25"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15"/>
      <c r="AK269" s="15"/>
      <c r="AL269" s="15"/>
      <c r="AM269" s="15"/>
      <c r="AN269" s="15"/>
      <c r="AO269" s="15"/>
      <c r="AP269" s="15"/>
    </row>
    <row r="270" spans="2:42" hidden="1" x14ac:dyDescent="0.25"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15"/>
      <c r="AK270" s="15"/>
      <c r="AL270" s="15"/>
      <c r="AM270" s="15"/>
      <c r="AN270" s="15"/>
      <c r="AO270" s="15"/>
      <c r="AP270" s="15"/>
    </row>
    <row r="271" spans="2:42" hidden="1" x14ac:dyDescent="0.25"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15"/>
      <c r="AK271" s="15"/>
      <c r="AL271" s="15"/>
      <c r="AM271" s="15"/>
      <c r="AN271" s="15"/>
      <c r="AO271" s="15"/>
      <c r="AP271" s="15"/>
    </row>
    <row r="272" spans="2:42" hidden="1" x14ac:dyDescent="0.25"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15"/>
      <c r="AK272" s="15"/>
      <c r="AL272" s="15"/>
      <c r="AM272" s="15"/>
      <c r="AN272" s="15"/>
      <c r="AO272" s="15"/>
      <c r="AP272" s="15"/>
    </row>
    <row r="273" spans="2:42" hidden="1" x14ac:dyDescent="0.25"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15"/>
      <c r="AK273" s="15"/>
      <c r="AL273" s="15"/>
      <c r="AM273" s="15"/>
      <c r="AN273" s="15"/>
      <c r="AO273" s="15"/>
      <c r="AP273" s="15"/>
    </row>
    <row r="274" spans="2:42" hidden="1" x14ac:dyDescent="0.25"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15"/>
      <c r="AK274" s="15"/>
      <c r="AL274" s="15"/>
      <c r="AM274" s="15"/>
      <c r="AN274" s="15"/>
      <c r="AO274" s="15"/>
      <c r="AP274" s="15"/>
    </row>
    <row r="275" spans="2:42" hidden="1" x14ac:dyDescent="0.25"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15"/>
      <c r="AK275" s="15"/>
      <c r="AL275" s="15"/>
      <c r="AM275" s="15"/>
      <c r="AN275" s="15"/>
      <c r="AO275" s="15"/>
      <c r="AP275" s="15"/>
    </row>
    <row r="276" spans="2:42" hidden="1" x14ac:dyDescent="0.25"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15"/>
      <c r="AK276" s="15"/>
      <c r="AL276" s="15"/>
      <c r="AM276" s="15"/>
      <c r="AN276" s="15"/>
      <c r="AO276" s="15"/>
      <c r="AP276" s="15"/>
    </row>
    <row r="277" spans="2:42" hidden="1" x14ac:dyDescent="0.25"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15"/>
      <c r="AK277" s="15"/>
      <c r="AL277" s="15"/>
      <c r="AM277" s="15"/>
      <c r="AN277" s="15"/>
      <c r="AO277" s="15"/>
      <c r="AP277" s="15"/>
    </row>
    <row r="278" spans="2:42" hidden="1" x14ac:dyDescent="0.25"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15"/>
      <c r="AK278" s="15"/>
      <c r="AL278" s="15"/>
      <c r="AM278" s="15"/>
      <c r="AN278" s="15"/>
      <c r="AO278" s="15"/>
      <c r="AP278" s="15"/>
    </row>
    <row r="279" spans="2:42" hidden="1" x14ac:dyDescent="0.25"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15"/>
      <c r="AK279" s="15"/>
      <c r="AL279" s="15"/>
      <c r="AM279" s="15"/>
      <c r="AN279" s="15"/>
      <c r="AO279" s="15"/>
      <c r="AP279" s="15"/>
    </row>
    <row r="280" spans="2:42" hidden="1" x14ac:dyDescent="0.25"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15"/>
      <c r="AK280" s="15"/>
      <c r="AL280" s="15"/>
      <c r="AM280" s="15"/>
      <c r="AN280" s="15"/>
      <c r="AO280" s="15"/>
      <c r="AP280" s="15"/>
    </row>
    <row r="281" spans="2:42" hidden="1" x14ac:dyDescent="0.25"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15"/>
      <c r="AK281" s="15"/>
      <c r="AL281" s="15"/>
      <c r="AM281" s="15"/>
      <c r="AN281" s="15"/>
      <c r="AO281" s="15"/>
      <c r="AP281" s="15"/>
    </row>
    <row r="282" spans="2:42" hidden="1" x14ac:dyDescent="0.25"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15"/>
      <c r="AK282" s="15"/>
      <c r="AL282" s="15"/>
      <c r="AM282" s="15"/>
      <c r="AN282" s="15"/>
      <c r="AO282" s="15"/>
      <c r="AP282" s="15"/>
    </row>
    <row r="283" spans="2:42" hidden="1" x14ac:dyDescent="0.25"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15"/>
      <c r="AK283" s="15"/>
      <c r="AL283" s="15"/>
      <c r="AM283" s="15"/>
      <c r="AN283" s="15"/>
      <c r="AO283" s="15"/>
      <c r="AP283" s="15"/>
    </row>
    <row r="284" spans="2:42" hidden="1" x14ac:dyDescent="0.25"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15"/>
      <c r="AK284" s="15"/>
      <c r="AL284" s="15"/>
      <c r="AM284" s="15"/>
      <c r="AN284" s="15"/>
      <c r="AO284" s="15"/>
      <c r="AP284" s="15"/>
    </row>
    <row r="285" spans="2:42" hidden="1" x14ac:dyDescent="0.25"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15"/>
      <c r="AK285" s="15"/>
      <c r="AL285" s="15"/>
      <c r="AM285" s="15"/>
      <c r="AN285" s="15"/>
      <c r="AO285" s="15"/>
      <c r="AP285" s="15"/>
    </row>
    <row r="286" spans="2:42" hidden="1" x14ac:dyDescent="0.25"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15"/>
      <c r="AK286" s="15"/>
      <c r="AL286" s="15"/>
      <c r="AM286" s="15"/>
      <c r="AN286" s="15"/>
      <c r="AO286" s="15"/>
      <c r="AP286" s="15"/>
    </row>
    <row r="287" spans="2:42" hidden="1" x14ac:dyDescent="0.25"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15"/>
      <c r="AK287" s="15"/>
      <c r="AL287" s="15"/>
      <c r="AM287" s="15"/>
      <c r="AN287" s="15"/>
      <c r="AO287" s="15"/>
      <c r="AP287" s="15"/>
    </row>
    <row r="288" spans="2:42" hidden="1" x14ac:dyDescent="0.25"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15"/>
      <c r="AK288" s="15"/>
      <c r="AL288" s="15"/>
      <c r="AM288" s="15"/>
      <c r="AN288" s="15"/>
      <c r="AO288" s="15"/>
      <c r="AP288" s="15"/>
    </row>
    <row r="289" spans="2:42" hidden="1" x14ac:dyDescent="0.25"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15"/>
      <c r="AK289" s="15"/>
      <c r="AL289" s="15"/>
      <c r="AM289" s="15"/>
      <c r="AN289" s="15"/>
      <c r="AO289" s="15"/>
      <c r="AP289" s="15"/>
    </row>
    <row r="290" spans="2:42" hidden="1" x14ac:dyDescent="0.25"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15"/>
      <c r="AK290" s="15"/>
      <c r="AL290" s="15"/>
      <c r="AM290" s="15"/>
      <c r="AN290" s="15"/>
      <c r="AO290" s="15"/>
      <c r="AP290" s="15"/>
    </row>
    <row r="291" spans="2:42" hidden="1" x14ac:dyDescent="0.25"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15"/>
      <c r="AK291" s="15"/>
      <c r="AL291" s="15"/>
      <c r="AM291" s="15"/>
      <c r="AN291" s="15"/>
      <c r="AO291" s="15"/>
      <c r="AP291" s="15"/>
    </row>
    <row r="292" spans="2:42" hidden="1" x14ac:dyDescent="0.25"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15"/>
      <c r="AK292" s="15"/>
      <c r="AL292" s="15"/>
      <c r="AM292" s="15"/>
      <c r="AN292" s="15"/>
      <c r="AO292" s="15"/>
      <c r="AP292" s="15"/>
    </row>
    <row r="293" spans="2:42" hidden="1" x14ac:dyDescent="0.25"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15"/>
      <c r="AK293" s="15"/>
      <c r="AL293" s="15"/>
      <c r="AM293" s="15"/>
      <c r="AN293" s="15"/>
      <c r="AO293" s="15"/>
      <c r="AP293" s="15"/>
    </row>
    <row r="294" spans="2:42" hidden="1" x14ac:dyDescent="0.25"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15"/>
      <c r="AK294" s="15"/>
      <c r="AL294" s="15"/>
      <c r="AM294" s="15"/>
      <c r="AN294" s="15"/>
      <c r="AO294" s="15"/>
      <c r="AP294" s="15"/>
    </row>
    <row r="295" spans="2:42" hidden="1" x14ac:dyDescent="0.25"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15"/>
      <c r="AK295" s="15"/>
      <c r="AL295" s="15"/>
      <c r="AM295" s="15"/>
      <c r="AN295" s="15"/>
      <c r="AO295" s="15"/>
      <c r="AP295" s="15"/>
    </row>
    <row r="296" spans="2:42" hidden="1" x14ac:dyDescent="0.25"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15"/>
      <c r="AK296" s="15"/>
      <c r="AL296" s="15"/>
      <c r="AM296" s="15"/>
      <c r="AN296" s="15"/>
      <c r="AO296" s="15"/>
      <c r="AP296" s="15"/>
    </row>
    <row r="297" spans="2:42" hidden="1" x14ac:dyDescent="0.25"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15"/>
      <c r="AK297" s="15"/>
      <c r="AL297" s="15"/>
      <c r="AM297" s="15"/>
      <c r="AN297" s="15"/>
      <c r="AO297" s="15"/>
      <c r="AP297" s="15"/>
    </row>
    <row r="298" spans="2:42" hidden="1" x14ac:dyDescent="0.25"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15"/>
      <c r="AK298" s="15"/>
      <c r="AL298" s="15"/>
      <c r="AM298" s="15"/>
      <c r="AN298" s="15"/>
      <c r="AO298" s="15"/>
      <c r="AP298" s="15"/>
    </row>
    <row r="299" spans="2:42" hidden="1" x14ac:dyDescent="0.25"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15"/>
      <c r="AK299" s="15"/>
      <c r="AL299" s="15"/>
      <c r="AM299" s="15"/>
      <c r="AN299" s="15"/>
      <c r="AO299" s="15"/>
      <c r="AP299" s="15"/>
    </row>
    <row r="300" spans="2:42" hidden="1" x14ac:dyDescent="0.25"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15"/>
      <c r="AK300" s="15"/>
      <c r="AL300" s="15"/>
      <c r="AM300" s="15"/>
      <c r="AN300" s="15"/>
      <c r="AO300" s="15"/>
      <c r="AP300" s="15"/>
    </row>
    <row r="301" spans="2:42" hidden="1" x14ac:dyDescent="0.25"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15"/>
      <c r="AK301" s="15"/>
      <c r="AL301" s="15"/>
      <c r="AM301" s="15"/>
      <c r="AN301" s="15"/>
      <c r="AO301" s="15"/>
      <c r="AP301" s="15"/>
    </row>
    <row r="302" spans="2:42" hidden="1" x14ac:dyDescent="0.25"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15"/>
      <c r="AK302" s="15"/>
      <c r="AL302" s="15"/>
      <c r="AM302" s="15"/>
      <c r="AN302" s="15"/>
      <c r="AO302" s="15"/>
      <c r="AP302" s="15"/>
    </row>
    <row r="303" spans="2:42" hidden="1" x14ac:dyDescent="0.25"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15"/>
      <c r="AK303" s="15"/>
      <c r="AL303" s="15"/>
      <c r="AM303" s="15"/>
      <c r="AN303" s="15"/>
      <c r="AO303" s="15"/>
      <c r="AP303" s="15"/>
    </row>
    <row r="304" spans="2:42" hidden="1" x14ac:dyDescent="0.25"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15"/>
      <c r="AK304" s="15"/>
      <c r="AL304" s="15"/>
      <c r="AM304" s="15"/>
      <c r="AN304" s="15"/>
      <c r="AO304" s="15"/>
      <c r="AP304" s="15"/>
    </row>
    <row r="305" spans="2:42" hidden="1" x14ac:dyDescent="0.25"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15"/>
      <c r="AK305" s="15"/>
      <c r="AL305" s="15"/>
      <c r="AM305" s="15"/>
      <c r="AN305" s="15"/>
      <c r="AO305" s="15"/>
      <c r="AP305" s="15"/>
    </row>
    <row r="306" spans="2:42" hidden="1" x14ac:dyDescent="0.25"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15"/>
      <c r="AK306" s="15"/>
      <c r="AL306" s="15"/>
      <c r="AM306" s="15"/>
      <c r="AN306" s="15"/>
      <c r="AO306" s="15"/>
      <c r="AP306" s="15"/>
    </row>
    <row r="307" spans="2:42" hidden="1" x14ac:dyDescent="0.25"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15"/>
      <c r="AK307" s="15"/>
      <c r="AL307" s="15"/>
      <c r="AM307" s="15"/>
      <c r="AN307" s="15"/>
      <c r="AO307" s="15"/>
      <c r="AP307" s="15"/>
    </row>
    <row r="308" spans="2:42" hidden="1" x14ac:dyDescent="0.25"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15"/>
      <c r="AK308" s="15"/>
      <c r="AL308" s="15"/>
      <c r="AM308" s="15"/>
      <c r="AN308" s="15"/>
      <c r="AO308" s="15"/>
      <c r="AP308" s="15"/>
    </row>
    <row r="309" spans="2:42" hidden="1" x14ac:dyDescent="0.25"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15"/>
      <c r="AK309" s="15"/>
      <c r="AL309" s="15"/>
      <c r="AM309" s="15"/>
      <c r="AN309" s="15"/>
      <c r="AO309" s="15"/>
      <c r="AP309" s="15"/>
    </row>
    <row r="310" spans="2:42" hidden="1" x14ac:dyDescent="0.25"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15"/>
      <c r="AK310" s="15"/>
      <c r="AL310" s="15"/>
      <c r="AM310" s="15"/>
      <c r="AN310" s="15"/>
      <c r="AO310" s="15"/>
      <c r="AP310" s="15"/>
    </row>
    <row r="311" spans="2:42" hidden="1" x14ac:dyDescent="0.25"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15"/>
      <c r="AK311" s="15"/>
      <c r="AL311" s="15"/>
      <c r="AM311" s="15"/>
      <c r="AN311" s="15"/>
      <c r="AO311" s="15"/>
      <c r="AP311" s="15"/>
    </row>
    <row r="312" spans="2:42" hidden="1" x14ac:dyDescent="0.25"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15"/>
      <c r="AK312" s="15"/>
      <c r="AL312" s="15"/>
      <c r="AM312" s="15"/>
      <c r="AN312" s="15"/>
      <c r="AO312" s="15"/>
      <c r="AP312" s="15"/>
    </row>
    <row r="313" spans="2:42" hidden="1" x14ac:dyDescent="0.25"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15"/>
      <c r="AK313" s="15"/>
      <c r="AL313" s="15"/>
      <c r="AM313" s="15"/>
      <c r="AN313" s="15"/>
      <c r="AO313" s="15"/>
      <c r="AP313" s="15"/>
    </row>
    <row r="314" spans="2:42" hidden="1" x14ac:dyDescent="0.25"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15"/>
      <c r="AK314" s="15"/>
      <c r="AL314" s="15"/>
      <c r="AM314" s="15"/>
      <c r="AN314" s="15"/>
      <c r="AO314" s="15"/>
      <c r="AP314" s="15"/>
    </row>
    <row r="315" spans="2:42" hidden="1" x14ac:dyDescent="0.25"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15"/>
      <c r="AK315" s="15"/>
      <c r="AL315" s="15"/>
      <c r="AM315" s="15"/>
      <c r="AN315" s="15"/>
      <c r="AO315" s="15"/>
      <c r="AP315" s="15"/>
    </row>
    <row r="316" spans="2:42" hidden="1" x14ac:dyDescent="0.25"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15"/>
      <c r="AK316" s="15"/>
      <c r="AL316" s="15"/>
      <c r="AM316" s="15"/>
      <c r="AN316" s="15"/>
      <c r="AO316" s="15"/>
      <c r="AP316" s="15"/>
    </row>
    <row r="317" spans="2:42" hidden="1" x14ac:dyDescent="0.25"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15"/>
      <c r="AK317" s="15"/>
      <c r="AL317" s="15"/>
      <c r="AM317" s="15"/>
      <c r="AN317" s="15"/>
      <c r="AO317" s="15"/>
      <c r="AP317" s="15"/>
    </row>
    <row r="318" spans="2:42" hidden="1" x14ac:dyDescent="0.25"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15"/>
      <c r="AK318" s="15"/>
      <c r="AL318" s="15"/>
      <c r="AM318" s="15"/>
      <c r="AN318" s="15"/>
      <c r="AO318" s="15"/>
      <c r="AP318" s="15"/>
    </row>
    <row r="319" spans="2:42" hidden="1" x14ac:dyDescent="0.25"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15"/>
      <c r="AK319" s="15"/>
      <c r="AL319" s="15"/>
      <c r="AM319" s="15"/>
      <c r="AN319" s="15"/>
      <c r="AO319" s="15"/>
      <c r="AP319" s="15"/>
    </row>
    <row r="320" spans="2:42" hidden="1" x14ac:dyDescent="0.25"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15"/>
      <c r="AK320" s="15"/>
      <c r="AL320" s="15"/>
      <c r="AM320" s="15"/>
      <c r="AN320" s="15"/>
      <c r="AO320" s="15"/>
      <c r="AP320" s="15"/>
    </row>
    <row r="321" spans="2:42" hidden="1" x14ac:dyDescent="0.25"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15"/>
      <c r="AK321" s="15"/>
      <c r="AL321" s="15"/>
      <c r="AM321" s="15"/>
      <c r="AN321" s="15"/>
      <c r="AO321" s="15"/>
      <c r="AP321" s="15"/>
    </row>
    <row r="322" spans="2:42" hidden="1" x14ac:dyDescent="0.25"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15"/>
      <c r="AK322" s="15"/>
      <c r="AL322" s="15"/>
      <c r="AM322" s="15"/>
      <c r="AN322" s="15"/>
      <c r="AO322" s="15"/>
      <c r="AP322" s="15"/>
    </row>
    <row r="323" spans="2:42" hidden="1" x14ac:dyDescent="0.25"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15"/>
      <c r="AK323" s="15"/>
      <c r="AL323" s="15"/>
      <c r="AM323" s="15"/>
      <c r="AN323" s="15"/>
      <c r="AO323" s="15"/>
      <c r="AP323" s="15"/>
    </row>
    <row r="324" spans="2:42" hidden="1" x14ac:dyDescent="0.25"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15"/>
      <c r="AK324" s="15"/>
      <c r="AL324" s="15"/>
      <c r="AM324" s="15"/>
      <c r="AN324" s="15"/>
      <c r="AO324" s="15"/>
      <c r="AP324" s="15"/>
    </row>
    <row r="325" spans="2:42" hidden="1" x14ac:dyDescent="0.25"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15"/>
      <c r="AK325" s="15"/>
      <c r="AL325" s="15"/>
      <c r="AM325" s="15"/>
      <c r="AN325" s="15"/>
      <c r="AO325" s="15"/>
      <c r="AP325" s="15"/>
    </row>
    <row r="326" spans="2:42" hidden="1" x14ac:dyDescent="0.25"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15"/>
      <c r="AK326" s="15"/>
      <c r="AL326" s="15"/>
      <c r="AM326" s="15"/>
      <c r="AN326" s="15"/>
      <c r="AO326" s="15"/>
      <c r="AP326" s="15"/>
    </row>
    <row r="327" spans="2:42" hidden="1" x14ac:dyDescent="0.25"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15"/>
      <c r="AK327" s="15"/>
      <c r="AL327" s="15"/>
      <c r="AM327" s="15"/>
      <c r="AN327" s="15"/>
      <c r="AO327" s="15"/>
      <c r="AP327" s="15"/>
    </row>
    <row r="328" spans="2:42" hidden="1" x14ac:dyDescent="0.25"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15"/>
      <c r="AK328" s="15"/>
      <c r="AL328" s="15"/>
      <c r="AM328" s="15"/>
      <c r="AN328" s="15"/>
      <c r="AO328" s="15"/>
      <c r="AP328" s="15"/>
    </row>
    <row r="329" spans="2:42" hidden="1" x14ac:dyDescent="0.25"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15"/>
      <c r="AK329" s="15"/>
      <c r="AL329" s="15"/>
      <c r="AM329" s="15"/>
      <c r="AN329" s="15"/>
      <c r="AO329" s="15"/>
      <c r="AP329" s="15"/>
    </row>
    <row r="330" spans="2:42" hidden="1" x14ac:dyDescent="0.25"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15"/>
      <c r="AK330" s="15"/>
      <c r="AL330" s="15"/>
      <c r="AM330" s="15"/>
      <c r="AN330" s="15"/>
      <c r="AO330" s="15"/>
      <c r="AP330" s="15"/>
    </row>
    <row r="331" spans="2:42" hidden="1" x14ac:dyDescent="0.25"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15"/>
      <c r="AK331" s="15"/>
      <c r="AL331" s="15"/>
      <c r="AM331" s="15"/>
      <c r="AN331" s="15"/>
      <c r="AO331" s="15"/>
      <c r="AP331" s="15"/>
    </row>
    <row r="332" spans="2:42" hidden="1" x14ac:dyDescent="0.25"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15"/>
      <c r="AK332" s="15"/>
      <c r="AL332" s="15"/>
      <c r="AM332" s="15"/>
      <c r="AN332" s="15"/>
      <c r="AO332" s="15"/>
      <c r="AP332" s="15"/>
    </row>
    <row r="333" spans="2:42" hidden="1" x14ac:dyDescent="0.25"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15"/>
      <c r="AK333" s="15"/>
      <c r="AL333" s="15"/>
      <c r="AM333" s="15"/>
      <c r="AN333" s="15"/>
      <c r="AO333" s="15"/>
      <c r="AP333" s="15"/>
    </row>
    <row r="334" spans="2:42" hidden="1" x14ac:dyDescent="0.25"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15"/>
      <c r="AK334" s="15"/>
      <c r="AL334" s="15"/>
      <c r="AM334" s="15"/>
      <c r="AN334" s="15"/>
      <c r="AO334" s="15"/>
      <c r="AP334" s="15"/>
    </row>
    <row r="335" spans="2:42" hidden="1" x14ac:dyDescent="0.25"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15"/>
      <c r="AK335" s="15"/>
      <c r="AL335" s="15"/>
      <c r="AM335" s="15"/>
      <c r="AN335" s="15"/>
      <c r="AO335" s="15"/>
      <c r="AP335" s="15"/>
    </row>
    <row r="336" spans="2:42" hidden="1" x14ac:dyDescent="0.25"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15"/>
      <c r="AK336" s="15"/>
      <c r="AL336" s="15"/>
      <c r="AM336" s="15"/>
      <c r="AN336" s="15"/>
      <c r="AO336" s="15"/>
      <c r="AP336" s="15"/>
    </row>
    <row r="337" spans="2:42" hidden="1" x14ac:dyDescent="0.25"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15"/>
      <c r="AK337" s="15"/>
      <c r="AL337" s="15"/>
      <c r="AM337" s="15"/>
      <c r="AN337" s="15"/>
      <c r="AO337" s="15"/>
      <c r="AP337" s="15"/>
    </row>
    <row r="338" spans="2:42" hidden="1" x14ac:dyDescent="0.25"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15"/>
      <c r="AK338" s="15"/>
      <c r="AL338" s="15"/>
      <c r="AM338" s="15"/>
      <c r="AN338" s="15"/>
      <c r="AO338" s="15"/>
      <c r="AP338" s="15"/>
    </row>
    <row r="339" spans="2:42" hidden="1" x14ac:dyDescent="0.25"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15"/>
      <c r="AK339" s="15"/>
      <c r="AL339" s="15"/>
      <c r="AM339" s="15"/>
      <c r="AN339" s="15"/>
      <c r="AO339" s="15"/>
      <c r="AP339" s="15"/>
    </row>
    <row r="340" spans="2:42" hidden="1" x14ac:dyDescent="0.25"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15"/>
      <c r="AK340" s="15"/>
      <c r="AL340" s="15"/>
      <c r="AM340" s="15"/>
      <c r="AN340" s="15"/>
      <c r="AO340" s="15"/>
      <c r="AP340" s="15"/>
    </row>
    <row r="341" spans="2:42" hidden="1" x14ac:dyDescent="0.25"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15"/>
      <c r="AK341" s="15"/>
      <c r="AL341" s="15"/>
      <c r="AM341" s="15"/>
      <c r="AN341" s="15"/>
      <c r="AO341" s="15"/>
      <c r="AP341" s="15"/>
    </row>
    <row r="342" spans="2:42" hidden="1" x14ac:dyDescent="0.25"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15"/>
      <c r="AK342" s="15"/>
      <c r="AL342" s="15"/>
      <c r="AM342" s="15"/>
      <c r="AN342" s="15"/>
      <c r="AO342" s="15"/>
      <c r="AP342" s="15"/>
    </row>
    <row r="343" spans="2:42" hidden="1" x14ac:dyDescent="0.25"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15"/>
      <c r="AK343" s="15"/>
      <c r="AL343" s="15"/>
      <c r="AM343" s="15"/>
      <c r="AN343" s="15"/>
      <c r="AO343" s="15"/>
      <c r="AP343" s="15"/>
    </row>
    <row r="344" spans="2:42" hidden="1" x14ac:dyDescent="0.25"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15"/>
      <c r="AK344" s="15"/>
      <c r="AL344" s="15"/>
      <c r="AM344" s="15"/>
      <c r="AN344" s="15"/>
      <c r="AO344" s="15"/>
      <c r="AP344" s="15"/>
    </row>
    <row r="345" spans="2:42" hidden="1" x14ac:dyDescent="0.25"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15"/>
      <c r="AK345" s="15"/>
      <c r="AL345" s="15"/>
      <c r="AM345" s="15"/>
      <c r="AN345" s="15"/>
      <c r="AO345" s="15"/>
      <c r="AP345" s="15"/>
    </row>
    <row r="346" spans="2:42" hidden="1" x14ac:dyDescent="0.25"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15"/>
      <c r="AK346" s="15"/>
      <c r="AL346" s="15"/>
      <c r="AM346" s="15"/>
      <c r="AN346" s="15"/>
      <c r="AO346" s="15"/>
      <c r="AP346" s="15"/>
    </row>
    <row r="347" spans="2:42" hidden="1" x14ac:dyDescent="0.25"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15"/>
      <c r="AK347" s="15"/>
      <c r="AL347" s="15"/>
      <c r="AM347" s="15"/>
      <c r="AN347" s="15"/>
      <c r="AO347" s="15"/>
      <c r="AP347" s="15"/>
    </row>
    <row r="348" spans="2:42" hidden="1" x14ac:dyDescent="0.25"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15"/>
      <c r="AK348" s="15"/>
      <c r="AL348" s="15"/>
      <c r="AM348" s="15"/>
      <c r="AN348" s="15"/>
      <c r="AO348" s="15"/>
      <c r="AP348" s="15"/>
    </row>
    <row r="349" spans="2:42" hidden="1" x14ac:dyDescent="0.25"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15"/>
      <c r="AK349" s="15"/>
      <c r="AL349" s="15"/>
      <c r="AM349" s="15"/>
      <c r="AN349" s="15"/>
      <c r="AO349" s="15"/>
      <c r="AP349" s="15"/>
    </row>
    <row r="350" spans="2:42" hidden="1" x14ac:dyDescent="0.25"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15"/>
      <c r="AK350" s="15"/>
      <c r="AL350" s="15"/>
      <c r="AM350" s="15"/>
      <c r="AN350" s="15"/>
      <c r="AO350" s="15"/>
      <c r="AP350" s="15"/>
    </row>
    <row r="351" spans="2:42" hidden="1" x14ac:dyDescent="0.25"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15"/>
      <c r="AK351" s="15"/>
      <c r="AL351" s="15"/>
      <c r="AM351" s="15"/>
      <c r="AN351" s="15"/>
      <c r="AO351" s="15"/>
      <c r="AP351" s="15"/>
    </row>
    <row r="352" spans="2:42" hidden="1" x14ac:dyDescent="0.25"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15"/>
      <c r="AK352" s="15"/>
      <c r="AL352" s="15"/>
      <c r="AM352" s="15"/>
      <c r="AN352" s="15"/>
      <c r="AO352" s="15"/>
      <c r="AP352" s="15"/>
    </row>
    <row r="353" spans="2:42" hidden="1" x14ac:dyDescent="0.25"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15"/>
      <c r="AK353" s="15"/>
      <c r="AL353" s="15"/>
      <c r="AM353" s="15"/>
      <c r="AN353" s="15"/>
      <c r="AO353" s="15"/>
      <c r="AP353" s="15"/>
    </row>
    <row r="354" spans="2:42" hidden="1" x14ac:dyDescent="0.25"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15"/>
      <c r="AK354" s="15"/>
      <c r="AL354" s="15"/>
      <c r="AM354" s="15"/>
      <c r="AN354" s="15"/>
      <c r="AO354" s="15"/>
      <c r="AP354" s="15"/>
    </row>
    <row r="355" spans="2:42" hidden="1" x14ac:dyDescent="0.25"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15"/>
      <c r="AK355" s="15"/>
      <c r="AL355" s="15"/>
      <c r="AM355" s="15"/>
      <c r="AN355" s="15"/>
      <c r="AO355" s="15"/>
      <c r="AP355" s="15"/>
    </row>
    <row r="356" spans="2:42" hidden="1" x14ac:dyDescent="0.25"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15"/>
      <c r="AK356" s="15"/>
      <c r="AL356" s="15"/>
      <c r="AM356" s="15"/>
      <c r="AN356" s="15"/>
      <c r="AO356" s="15"/>
      <c r="AP356" s="15"/>
    </row>
    <row r="357" spans="2:42" hidden="1" x14ac:dyDescent="0.25"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15"/>
      <c r="AK357" s="15"/>
      <c r="AL357" s="15"/>
      <c r="AM357" s="15"/>
      <c r="AN357" s="15"/>
      <c r="AO357" s="15"/>
      <c r="AP357" s="15"/>
    </row>
    <row r="358" spans="2:42" hidden="1" x14ac:dyDescent="0.25"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15"/>
      <c r="AK358" s="15"/>
      <c r="AL358" s="15"/>
      <c r="AM358" s="15"/>
      <c r="AN358" s="15"/>
      <c r="AO358" s="15"/>
      <c r="AP358" s="15"/>
    </row>
    <row r="359" spans="2:42" hidden="1" x14ac:dyDescent="0.25"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15"/>
      <c r="AK359" s="15"/>
      <c r="AL359" s="15"/>
      <c r="AM359" s="15"/>
      <c r="AN359" s="15"/>
      <c r="AO359" s="15"/>
      <c r="AP359" s="15"/>
    </row>
    <row r="360" spans="2:42" hidden="1" x14ac:dyDescent="0.25"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15"/>
      <c r="AK360" s="15"/>
      <c r="AL360" s="15"/>
      <c r="AM360" s="15"/>
      <c r="AN360" s="15"/>
      <c r="AO360" s="15"/>
      <c r="AP360" s="15"/>
    </row>
    <row r="361" spans="2:42" hidden="1" x14ac:dyDescent="0.25"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15"/>
      <c r="AK361" s="15"/>
      <c r="AL361" s="15"/>
      <c r="AM361" s="15"/>
      <c r="AN361" s="15"/>
      <c r="AO361" s="15"/>
      <c r="AP361" s="15"/>
    </row>
    <row r="362" spans="2:42" hidden="1" x14ac:dyDescent="0.25"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15"/>
      <c r="AK362" s="15"/>
      <c r="AL362" s="15"/>
      <c r="AM362" s="15"/>
      <c r="AN362" s="15"/>
      <c r="AO362" s="15"/>
      <c r="AP362" s="15"/>
    </row>
    <row r="363" spans="2:42" hidden="1" x14ac:dyDescent="0.25"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15"/>
      <c r="AK363" s="15"/>
      <c r="AL363" s="15"/>
      <c r="AM363" s="15"/>
      <c r="AN363" s="15"/>
      <c r="AO363" s="15"/>
      <c r="AP363" s="15"/>
    </row>
    <row r="364" spans="2:42" hidden="1" x14ac:dyDescent="0.25"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15"/>
      <c r="AK364" s="15"/>
      <c r="AL364" s="15"/>
      <c r="AM364" s="15"/>
      <c r="AN364" s="15"/>
      <c r="AO364" s="15"/>
      <c r="AP364" s="15"/>
    </row>
    <row r="365" spans="2:42" hidden="1" x14ac:dyDescent="0.25"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15"/>
      <c r="AK365" s="15"/>
      <c r="AL365" s="15"/>
      <c r="AM365" s="15"/>
      <c r="AN365" s="15"/>
      <c r="AO365" s="15"/>
      <c r="AP365" s="15"/>
    </row>
    <row r="366" spans="2:42" hidden="1" x14ac:dyDescent="0.25"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15"/>
      <c r="AK366" s="15"/>
      <c r="AL366" s="15"/>
      <c r="AM366" s="15"/>
      <c r="AN366" s="15"/>
      <c r="AO366" s="15"/>
      <c r="AP366" s="15"/>
    </row>
    <row r="367" spans="2:42" hidden="1" x14ac:dyDescent="0.25"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15"/>
      <c r="AK367" s="15"/>
      <c r="AL367" s="15"/>
      <c r="AM367" s="15"/>
      <c r="AN367" s="15"/>
      <c r="AO367" s="15"/>
      <c r="AP367" s="15"/>
    </row>
    <row r="368" spans="2:42" hidden="1" x14ac:dyDescent="0.25"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15"/>
      <c r="AK368" s="15"/>
      <c r="AL368" s="15"/>
      <c r="AM368" s="15"/>
      <c r="AN368" s="15"/>
      <c r="AO368" s="15"/>
      <c r="AP368" s="15"/>
    </row>
    <row r="369" spans="2:42" hidden="1" x14ac:dyDescent="0.25"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15"/>
      <c r="AK369" s="15"/>
      <c r="AL369" s="15"/>
      <c r="AM369" s="15"/>
      <c r="AN369" s="15"/>
      <c r="AO369" s="15"/>
      <c r="AP369" s="15"/>
    </row>
    <row r="370" spans="2:42" hidden="1" x14ac:dyDescent="0.25"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15"/>
      <c r="AK370" s="15"/>
      <c r="AL370" s="15"/>
      <c r="AM370" s="15"/>
      <c r="AN370" s="15"/>
      <c r="AO370" s="15"/>
      <c r="AP370" s="15"/>
    </row>
    <row r="371" spans="2:42" hidden="1" x14ac:dyDescent="0.25"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15"/>
      <c r="AK371" s="15"/>
      <c r="AL371" s="15"/>
      <c r="AM371" s="15"/>
      <c r="AN371" s="15"/>
      <c r="AO371" s="15"/>
      <c r="AP371" s="15"/>
    </row>
    <row r="372" spans="2:42" hidden="1" x14ac:dyDescent="0.25"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15"/>
      <c r="AK372" s="15"/>
      <c r="AL372" s="15"/>
      <c r="AM372" s="15"/>
      <c r="AN372" s="15"/>
      <c r="AO372" s="15"/>
      <c r="AP372" s="15"/>
    </row>
    <row r="373" spans="2:42" hidden="1" x14ac:dyDescent="0.25"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15"/>
      <c r="AK373" s="15"/>
      <c r="AL373" s="15"/>
      <c r="AM373" s="15"/>
      <c r="AN373" s="15"/>
      <c r="AO373" s="15"/>
      <c r="AP373" s="15"/>
    </row>
    <row r="374" spans="2:42" hidden="1" x14ac:dyDescent="0.25"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15"/>
      <c r="AK374" s="15"/>
      <c r="AL374" s="15"/>
      <c r="AM374" s="15"/>
      <c r="AN374" s="15"/>
      <c r="AO374" s="15"/>
      <c r="AP374" s="15"/>
    </row>
    <row r="375" spans="2:42" hidden="1" x14ac:dyDescent="0.25"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15"/>
      <c r="AK375" s="15"/>
      <c r="AL375" s="15"/>
      <c r="AM375" s="15"/>
      <c r="AN375" s="15"/>
      <c r="AO375" s="15"/>
      <c r="AP375" s="15"/>
    </row>
    <row r="376" spans="2:42" hidden="1" x14ac:dyDescent="0.25"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15"/>
      <c r="AK376" s="15"/>
      <c r="AL376" s="15"/>
      <c r="AM376" s="15"/>
      <c r="AN376" s="15"/>
      <c r="AO376" s="15"/>
      <c r="AP376" s="15"/>
    </row>
    <row r="377" spans="2:42" hidden="1" x14ac:dyDescent="0.25"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15"/>
      <c r="AK377" s="15"/>
      <c r="AL377" s="15"/>
      <c r="AM377" s="15"/>
      <c r="AN377" s="15"/>
      <c r="AO377" s="15"/>
      <c r="AP377" s="15"/>
    </row>
    <row r="378" spans="2:42" hidden="1" x14ac:dyDescent="0.25"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15"/>
      <c r="AK378" s="15"/>
      <c r="AL378" s="15"/>
      <c r="AM378" s="15"/>
      <c r="AN378" s="15"/>
      <c r="AO378" s="15"/>
      <c r="AP378" s="15"/>
    </row>
    <row r="379" spans="2:42" hidden="1" x14ac:dyDescent="0.25"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15"/>
      <c r="AK379" s="15"/>
      <c r="AL379" s="15"/>
      <c r="AM379" s="15"/>
      <c r="AN379" s="15"/>
      <c r="AO379" s="15"/>
      <c r="AP379" s="15"/>
    </row>
    <row r="380" spans="2:42" hidden="1" x14ac:dyDescent="0.25"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15"/>
      <c r="AK380" s="15"/>
      <c r="AL380" s="15"/>
      <c r="AM380" s="15"/>
      <c r="AN380" s="15"/>
      <c r="AO380" s="15"/>
      <c r="AP380" s="15"/>
    </row>
    <row r="381" spans="2:42" hidden="1" x14ac:dyDescent="0.25"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15"/>
      <c r="AK381" s="15"/>
      <c r="AL381" s="15"/>
      <c r="AM381" s="15"/>
      <c r="AN381" s="15"/>
      <c r="AO381" s="15"/>
      <c r="AP381" s="15"/>
    </row>
    <row r="382" spans="2:42" hidden="1" x14ac:dyDescent="0.25"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15"/>
      <c r="AK382" s="15"/>
      <c r="AL382" s="15"/>
      <c r="AM382" s="15"/>
      <c r="AN382" s="15"/>
      <c r="AO382" s="15"/>
      <c r="AP382" s="15"/>
    </row>
    <row r="383" spans="2:42" hidden="1" x14ac:dyDescent="0.25"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15"/>
      <c r="AK383" s="15"/>
      <c r="AL383" s="15"/>
      <c r="AM383" s="15"/>
      <c r="AN383" s="15"/>
      <c r="AO383" s="15"/>
      <c r="AP383" s="15"/>
    </row>
    <row r="384" spans="2:42" hidden="1" x14ac:dyDescent="0.25"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15"/>
      <c r="AK384" s="15"/>
      <c r="AL384" s="15"/>
      <c r="AM384" s="15"/>
      <c r="AN384" s="15"/>
      <c r="AO384" s="15"/>
      <c r="AP384" s="15"/>
    </row>
    <row r="385" spans="2:42" hidden="1" x14ac:dyDescent="0.25"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15"/>
      <c r="AK385" s="15"/>
      <c r="AL385" s="15"/>
      <c r="AM385" s="15"/>
      <c r="AN385" s="15"/>
      <c r="AO385" s="15"/>
      <c r="AP385" s="15"/>
    </row>
    <row r="386" spans="2:42" hidden="1" x14ac:dyDescent="0.25"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15"/>
      <c r="AK386" s="15"/>
      <c r="AL386" s="15"/>
      <c r="AM386" s="15"/>
      <c r="AN386" s="15"/>
      <c r="AO386" s="15"/>
      <c r="AP386" s="15"/>
    </row>
    <row r="387" spans="2:42" hidden="1" x14ac:dyDescent="0.25"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15"/>
      <c r="AK387" s="15"/>
      <c r="AL387" s="15"/>
      <c r="AM387" s="15"/>
      <c r="AN387" s="15"/>
      <c r="AO387" s="15"/>
      <c r="AP387" s="15"/>
    </row>
    <row r="388" spans="2:42" hidden="1" x14ac:dyDescent="0.25"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15"/>
      <c r="AK388" s="15"/>
      <c r="AL388" s="15"/>
      <c r="AM388" s="15"/>
      <c r="AN388" s="15"/>
      <c r="AO388" s="15"/>
      <c r="AP388" s="15"/>
    </row>
    <row r="389" spans="2:42" hidden="1" x14ac:dyDescent="0.25"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15"/>
      <c r="AK389" s="15"/>
      <c r="AL389" s="15"/>
      <c r="AM389" s="15"/>
      <c r="AN389" s="15"/>
      <c r="AO389" s="15"/>
      <c r="AP389" s="15"/>
    </row>
    <row r="390" spans="2:42" hidden="1" x14ac:dyDescent="0.25"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15"/>
      <c r="AK390" s="15"/>
      <c r="AL390" s="15"/>
      <c r="AM390" s="15"/>
      <c r="AN390" s="15"/>
      <c r="AO390" s="15"/>
      <c r="AP390" s="15"/>
    </row>
    <row r="391" spans="2:42" hidden="1" x14ac:dyDescent="0.25"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15"/>
      <c r="AK391" s="15"/>
      <c r="AL391" s="15"/>
      <c r="AM391" s="15"/>
      <c r="AN391" s="15"/>
      <c r="AO391" s="15"/>
      <c r="AP391" s="15"/>
    </row>
    <row r="392" spans="2:42" hidden="1" x14ac:dyDescent="0.25"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15"/>
      <c r="AK392" s="15"/>
      <c r="AL392" s="15"/>
      <c r="AM392" s="15"/>
      <c r="AN392" s="15"/>
      <c r="AO392" s="15"/>
      <c r="AP392" s="15"/>
    </row>
    <row r="393" spans="2:42" hidden="1" x14ac:dyDescent="0.25"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15"/>
      <c r="AK393" s="15"/>
      <c r="AL393" s="15"/>
      <c r="AM393" s="15"/>
      <c r="AN393" s="15"/>
      <c r="AO393" s="15"/>
      <c r="AP393" s="15"/>
    </row>
    <row r="394" spans="2:42" hidden="1" x14ac:dyDescent="0.25"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15"/>
      <c r="AK394" s="15"/>
      <c r="AL394" s="15"/>
      <c r="AM394" s="15"/>
      <c r="AN394" s="15"/>
      <c r="AO394" s="15"/>
      <c r="AP394" s="15"/>
    </row>
    <row r="395" spans="2:42" hidden="1" x14ac:dyDescent="0.25"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15"/>
      <c r="AK395" s="15"/>
      <c r="AL395" s="15"/>
      <c r="AM395" s="15"/>
      <c r="AN395" s="15"/>
      <c r="AO395" s="15"/>
      <c r="AP395" s="15"/>
    </row>
    <row r="396" spans="2:42" hidden="1" x14ac:dyDescent="0.25"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15"/>
      <c r="AK396" s="15"/>
      <c r="AL396" s="15"/>
      <c r="AM396" s="15"/>
      <c r="AN396" s="15"/>
      <c r="AO396" s="15"/>
      <c r="AP396" s="15"/>
    </row>
    <row r="397" spans="2:42" hidden="1" x14ac:dyDescent="0.25"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15"/>
      <c r="AK397" s="15"/>
      <c r="AL397" s="15"/>
      <c r="AM397" s="15"/>
      <c r="AN397" s="15"/>
      <c r="AO397" s="15"/>
      <c r="AP397" s="15"/>
    </row>
    <row r="398" spans="2:42" hidden="1" x14ac:dyDescent="0.25"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15"/>
      <c r="AK398" s="15"/>
      <c r="AL398" s="15"/>
      <c r="AM398" s="15"/>
      <c r="AN398" s="15"/>
      <c r="AO398" s="15"/>
      <c r="AP398" s="15"/>
    </row>
    <row r="399" spans="2:42" hidden="1" x14ac:dyDescent="0.25"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15"/>
      <c r="AK399" s="15"/>
      <c r="AL399" s="15"/>
      <c r="AM399" s="15"/>
      <c r="AN399" s="15"/>
      <c r="AO399" s="15"/>
      <c r="AP399" s="15"/>
    </row>
    <row r="400" spans="2:42" hidden="1" x14ac:dyDescent="0.25"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15"/>
      <c r="AK400" s="15"/>
      <c r="AL400" s="15"/>
      <c r="AM400" s="15"/>
      <c r="AN400" s="15"/>
      <c r="AO400" s="15"/>
      <c r="AP400" s="15"/>
    </row>
    <row r="401" spans="2:42" hidden="1" x14ac:dyDescent="0.25"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15"/>
      <c r="AK401" s="15"/>
      <c r="AL401" s="15"/>
      <c r="AM401" s="15"/>
      <c r="AN401" s="15"/>
      <c r="AO401" s="15"/>
      <c r="AP401" s="15"/>
    </row>
    <row r="402" spans="2:42" hidden="1" x14ac:dyDescent="0.25"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15"/>
      <c r="AK402" s="15"/>
      <c r="AL402" s="15"/>
      <c r="AM402" s="15"/>
      <c r="AN402" s="15"/>
      <c r="AO402" s="15"/>
      <c r="AP402" s="15"/>
    </row>
    <row r="403" spans="2:42" hidden="1" x14ac:dyDescent="0.25"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15"/>
      <c r="AK403" s="15"/>
      <c r="AL403" s="15"/>
      <c r="AM403" s="15"/>
      <c r="AN403" s="15"/>
      <c r="AO403" s="15"/>
      <c r="AP403" s="15"/>
    </row>
    <row r="404" spans="2:42" hidden="1" x14ac:dyDescent="0.25"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15"/>
      <c r="AK404" s="15"/>
      <c r="AL404" s="15"/>
      <c r="AM404" s="15"/>
      <c r="AN404" s="15"/>
      <c r="AO404" s="15"/>
      <c r="AP404" s="15"/>
    </row>
    <row r="405" spans="2:42" hidden="1" x14ac:dyDescent="0.25"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15"/>
      <c r="AK405" s="15"/>
      <c r="AL405" s="15"/>
      <c r="AM405" s="15"/>
      <c r="AN405" s="15"/>
      <c r="AO405" s="15"/>
      <c r="AP405" s="15"/>
    </row>
    <row r="406" spans="2:42" hidden="1" x14ac:dyDescent="0.25"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15"/>
      <c r="AK406" s="15"/>
      <c r="AL406" s="15"/>
      <c r="AM406" s="15"/>
      <c r="AN406" s="15"/>
      <c r="AO406" s="15"/>
      <c r="AP406" s="15"/>
    </row>
    <row r="407" spans="2:42" hidden="1" x14ac:dyDescent="0.25"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15"/>
      <c r="AK407" s="15"/>
      <c r="AL407" s="15"/>
      <c r="AM407" s="15"/>
      <c r="AN407" s="15"/>
      <c r="AO407" s="15"/>
      <c r="AP407" s="15"/>
    </row>
    <row r="408" spans="2:42" hidden="1" x14ac:dyDescent="0.25"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15"/>
      <c r="AK408" s="15"/>
      <c r="AL408" s="15"/>
      <c r="AM408" s="15"/>
      <c r="AN408" s="15"/>
      <c r="AO408" s="15"/>
      <c r="AP408" s="15"/>
    </row>
    <row r="409" spans="2:42" hidden="1" x14ac:dyDescent="0.25"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15"/>
      <c r="AK409" s="15"/>
      <c r="AL409" s="15"/>
      <c r="AM409" s="15"/>
      <c r="AN409" s="15"/>
      <c r="AO409" s="15"/>
      <c r="AP409" s="15"/>
    </row>
    <row r="410" spans="2:42" hidden="1" x14ac:dyDescent="0.25"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15"/>
      <c r="AK410" s="15"/>
      <c r="AL410" s="15"/>
      <c r="AM410" s="15"/>
      <c r="AN410" s="15"/>
      <c r="AO410" s="15"/>
      <c r="AP410" s="15"/>
    </row>
    <row r="411" spans="2:42" hidden="1" x14ac:dyDescent="0.25"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15"/>
      <c r="AK411" s="15"/>
      <c r="AL411" s="15"/>
      <c r="AM411" s="15"/>
      <c r="AN411" s="15"/>
      <c r="AO411" s="15"/>
      <c r="AP411" s="15"/>
    </row>
    <row r="412" spans="2:42" hidden="1" x14ac:dyDescent="0.25"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15"/>
      <c r="AK412" s="15"/>
      <c r="AL412" s="15"/>
      <c r="AM412" s="15"/>
      <c r="AN412" s="15"/>
      <c r="AO412" s="15"/>
      <c r="AP412" s="15"/>
    </row>
    <row r="413" spans="2:42" hidden="1" x14ac:dyDescent="0.25"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15"/>
      <c r="AK413" s="15"/>
      <c r="AL413" s="15"/>
      <c r="AM413" s="15"/>
      <c r="AN413" s="15"/>
      <c r="AO413" s="15"/>
      <c r="AP413" s="15"/>
    </row>
    <row r="414" spans="2:42" hidden="1" x14ac:dyDescent="0.25"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15"/>
      <c r="AK414" s="15"/>
      <c r="AL414" s="15"/>
      <c r="AM414" s="15"/>
      <c r="AN414" s="15"/>
      <c r="AO414" s="15"/>
      <c r="AP414" s="15"/>
    </row>
    <row r="415" spans="2:42" hidden="1" x14ac:dyDescent="0.25"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15"/>
      <c r="AK415" s="15"/>
      <c r="AL415" s="15"/>
      <c r="AM415" s="15"/>
      <c r="AN415" s="15"/>
      <c r="AO415" s="15"/>
      <c r="AP415" s="15"/>
    </row>
    <row r="416" spans="2:42" hidden="1" x14ac:dyDescent="0.25"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15"/>
      <c r="AK416" s="15"/>
      <c r="AL416" s="15"/>
      <c r="AM416" s="15"/>
      <c r="AN416" s="15"/>
      <c r="AO416" s="15"/>
      <c r="AP416" s="15"/>
    </row>
    <row r="417" spans="2:42" hidden="1" x14ac:dyDescent="0.25"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15"/>
      <c r="AK417" s="15"/>
      <c r="AL417" s="15"/>
      <c r="AM417" s="15"/>
      <c r="AN417" s="15"/>
      <c r="AO417" s="15"/>
      <c r="AP417" s="15"/>
    </row>
    <row r="418" spans="2:42" hidden="1" x14ac:dyDescent="0.25"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15"/>
      <c r="AK418" s="15"/>
      <c r="AL418" s="15"/>
      <c r="AM418" s="15"/>
      <c r="AN418" s="15"/>
      <c r="AO418" s="15"/>
      <c r="AP418" s="15"/>
    </row>
    <row r="419" spans="2:42" hidden="1" x14ac:dyDescent="0.25"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15"/>
      <c r="AK419" s="15"/>
      <c r="AL419" s="15"/>
      <c r="AM419" s="15"/>
      <c r="AN419" s="15"/>
      <c r="AO419" s="15"/>
      <c r="AP419" s="15"/>
    </row>
    <row r="420" spans="2:42" hidden="1" x14ac:dyDescent="0.25"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15"/>
      <c r="AK420" s="15"/>
      <c r="AL420" s="15"/>
      <c r="AM420" s="15"/>
      <c r="AN420" s="15"/>
      <c r="AO420" s="15"/>
      <c r="AP420" s="15"/>
    </row>
    <row r="421" spans="2:42" hidden="1" x14ac:dyDescent="0.25"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15"/>
      <c r="AK421" s="15"/>
      <c r="AL421" s="15"/>
      <c r="AM421" s="15"/>
      <c r="AN421" s="15"/>
      <c r="AO421" s="15"/>
      <c r="AP421" s="15"/>
    </row>
    <row r="422" spans="2:42" hidden="1" x14ac:dyDescent="0.25"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15"/>
      <c r="AK422" s="15"/>
      <c r="AL422" s="15"/>
      <c r="AM422" s="15"/>
      <c r="AN422" s="15"/>
      <c r="AO422" s="15"/>
      <c r="AP422" s="15"/>
    </row>
    <row r="423" spans="2:42" hidden="1" x14ac:dyDescent="0.25"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15"/>
      <c r="AK423" s="15"/>
      <c r="AL423" s="15"/>
      <c r="AM423" s="15"/>
      <c r="AN423" s="15"/>
      <c r="AO423" s="15"/>
      <c r="AP423" s="15"/>
    </row>
    <row r="424" spans="2:42" hidden="1" x14ac:dyDescent="0.25"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15"/>
      <c r="AK424" s="15"/>
      <c r="AL424" s="15"/>
      <c r="AM424" s="15"/>
      <c r="AN424" s="15"/>
      <c r="AO424" s="15"/>
      <c r="AP424" s="15"/>
    </row>
    <row r="425" spans="2:42" hidden="1" x14ac:dyDescent="0.25"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15"/>
      <c r="AK425" s="15"/>
      <c r="AL425" s="15"/>
      <c r="AM425" s="15"/>
      <c r="AN425" s="15"/>
      <c r="AO425" s="15"/>
      <c r="AP425" s="15"/>
    </row>
    <row r="426" spans="2:42" hidden="1" x14ac:dyDescent="0.25"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15"/>
      <c r="AK426" s="15"/>
      <c r="AL426" s="15"/>
      <c r="AM426" s="15"/>
      <c r="AN426" s="15"/>
      <c r="AO426" s="15"/>
      <c r="AP426" s="15"/>
    </row>
    <row r="427" spans="2:42" hidden="1" x14ac:dyDescent="0.25"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15"/>
      <c r="AK427" s="15"/>
      <c r="AL427" s="15"/>
      <c r="AM427" s="15"/>
      <c r="AN427" s="15"/>
      <c r="AO427" s="15"/>
      <c r="AP427" s="15"/>
    </row>
    <row r="428" spans="2:42" hidden="1" x14ac:dyDescent="0.25"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15"/>
      <c r="AK428" s="15"/>
      <c r="AL428" s="15"/>
      <c r="AM428" s="15"/>
      <c r="AN428" s="15"/>
      <c r="AO428" s="15"/>
      <c r="AP428" s="15"/>
    </row>
    <row r="429" spans="2:42" hidden="1" x14ac:dyDescent="0.25"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15"/>
      <c r="AK429" s="15"/>
      <c r="AL429" s="15"/>
      <c r="AM429" s="15"/>
      <c r="AN429" s="15"/>
      <c r="AO429" s="15"/>
      <c r="AP429" s="15"/>
    </row>
    <row r="430" spans="2:42" hidden="1" x14ac:dyDescent="0.25"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15"/>
      <c r="AK430" s="15"/>
      <c r="AL430" s="15"/>
      <c r="AM430" s="15"/>
      <c r="AN430" s="15"/>
      <c r="AO430" s="15"/>
      <c r="AP430" s="15"/>
    </row>
    <row r="431" spans="2:42" hidden="1" x14ac:dyDescent="0.25"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15"/>
      <c r="AK431" s="15"/>
      <c r="AL431" s="15"/>
      <c r="AM431" s="15"/>
      <c r="AN431" s="15"/>
      <c r="AO431" s="15"/>
      <c r="AP431" s="15"/>
    </row>
    <row r="432" spans="2:42" hidden="1" x14ac:dyDescent="0.25"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15"/>
      <c r="AK432" s="15"/>
      <c r="AL432" s="15"/>
      <c r="AM432" s="15"/>
      <c r="AN432" s="15"/>
      <c r="AO432" s="15"/>
      <c r="AP432" s="15"/>
    </row>
    <row r="433" spans="2:42" hidden="1" x14ac:dyDescent="0.25"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15"/>
      <c r="AK433" s="15"/>
      <c r="AL433" s="15"/>
      <c r="AM433" s="15"/>
      <c r="AN433" s="15"/>
      <c r="AO433" s="15"/>
      <c r="AP433" s="15"/>
    </row>
    <row r="434" spans="2:42" hidden="1" x14ac:dyDescent="0.25"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15"/>
      <c r="AK434" s="15"/>
      <c r="AL434" s="15"/>
      <c r="AM434" s="15"/>
      <c r="AN434" s="15"/>
      <c r="AO434" s="15"/>
      <c r="AP434" s="15"/>
    </row>
    <row r="435" spans="2:42" hidden="1" x14ac:dyDescent="0.25"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15"/>
      <c r="AK435" s="15"/>
      <c r="AL435" s="15"/>
      <c r="AM435" s="15"/>
      <c r="AN435" s="15"/>
      <c r="AO435" s="15"/>
      <c r="AP435" s="15"/>
    </row>
    <row r="436" spans="2:42" hidden="1" x14ac:dyDescent="0.25"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15"/>
      <c r="AK436" s="15"/>
      <c r="AL436" s="15"/>
      <c r="AM436" s="15"/>
      <c r="AN436" s="15"/>
      <c r="AO436" s="15"/>
      <c r="AP436" s="15"/>
    </row>
    <row r="437" spans="2:42" hidden="1" x14ac:dyDescent="0.25"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15"/>
      <c r="AK437" s="15"/>
      <c r="AL437" s="15"/>
      <c r="AM437" s="15"/>
      <c r="AN437" s="15"/>
      <c r="AO437" s="15"/>
      <c r="AP437" s="15"/>
    </row>
    <row r="438" spans="2:42" hidden="1" x14ac:dyDescent="0.25"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15"/>
      <c r="AK438" s="15"/>
      <c r="AL438" s="15"/>
      <c r="AM438" s="15"/>
      <c r="AN438" s="15"/>
      <c r="AO438" s="15"/>
      <c r="AP438" s="15"/>
    </row>
    <row r="439" spans="2:42" hidden="1" x14ac:dyDescent="0.25"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15"/>
      <c r="AK439" s="15"/>
      <c r="AL439" s="15"/>
      <c r="AM439" s="15"/>
      <c r="AN439" s="15"/>
      <c r="AO439" s="15"/>
      <c r="AP439" s="15"/>
    </row>
    <row r="440" spans="2:42" hidden="1" x14ac:dyDescent="0.25"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15"/>
      <c r="AK440" s="15"/>
      <c r="AL440" s="15"/>
      <c r="AM440" s="15"/>
      <c r="AN440" s="15"/>
      <c r="AO440" s="15"/>
      <c r="AP440" s="15"/>
    </row>
    <row r="441" spans="2:42" hidden="1" x14ac:dyDescent="0.25"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15"/>
      <c r="AK441" s="15"/>
      <c r="AL441" s="15"/>
      <c r="AM441" s="15"/>
      <c r="AN441" s="15"/>
      <c r="AO441" s="15"/>
      <c r="AP441" s="15"/>
    </row>
    <row r="442" spans="2:42" hidden="1" x14ac:dyDescent="0.25"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15"/>
      <c r="AK442" s="15"/>
      <c r="AL442" s="15"/>
      <c r="AM442" s="15"/>
      <c r="AN442" s="15"/>
      <c r="AO442" s="15"/>
      <c r="AP442" s="15"/>
    </row>
    <row r="443" spans="2:42" hidden="1" x14ac:dyDescent="0.25"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15"/>
      <c r="AK443" s="15"/>
      <c r="AL443" s="15"/>
      <c r="AM443" s="15"/>
      <c r="AN443" s="15"/>
      <c r="AO443" s="15"/>
      <c r="AP443" s="15"/>
    </row>
    <row r="444" spans="2:42" hidden="1" x14ac:dyDescent="0.25"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15"/>
      <c r="AK444" s="15"/>
      <c r="AL444" s="15"/>
      <c r="AM444" s="15"/>
      <c r="AN444" s="15"/>
      <c r="AO444" s="15"/>
      <c r="AP444" s="15"/>
    </row>
    <row r="445" spans="2:42" hidden="1" x14ac:dyDescent="0.25"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15"/>
      <c r="AK445" s="15"/>
      <c r="AL445" s="15"/>
      <c r="AM445" s="15"/>
      <c r="AN445" s="15"/>
      <c r="AO445" s="15"/>
      <c r="AP445" s="15"/>
    </row>
    <row r="446" spans="2:42" hidden="1" x14ac:dyDescent="0.25"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15"/>
      <c r="AK446" s="15"/>
      <c r="AL446" s="15"/>
      <c r="AM446" s="15"/>
      <c r="AN446" s="15"/>
      <c r="AO446" s="15"/>
      <c r="AP446" s="15"/>
    </row>
    <row r="447" spans="2:42" hidden="1" x14ac:dyDescent="0.25"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15"/>
      <c r="AK447" s="15"/>
      <c r="AL447" s="15"/>
      <c r="AM447" s="15"/>
      <c r="AN447" s="15"/>
      <c r="AO447" s="15"/>
      <c r="AP447" s="15"/>
    </row>
    <row r="448" spans="2:42" hidden="1" x14ac:dyDescent="0.25"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15"/>
      <c r="AK448" s="15"/>
      <c r="AL448" s="15"/>
      <c r="AM448" s="15"/>
      <c r="AN448" s="15"/>
      <c r="AO448" s="15"/>
      <c r="AP448" s="15"/>
    </row>
    <row r="449" spans="2:42" hidden="1" x14ac:dyDescent="0.25"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15"/>
      <c r="AK449" s="15"/>
      <c r="AL449" s="15"/>
      <c r="AM449" s="15"/>
      <c r="AN449" s="15"/>
      <c r="AO449" s="15"/>
      <c r="AP449" s="15"/>
    </row>
    <row r="450" spans="2:42" hidden="1" x14ac:dyDescent="0.25"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15"/>
      <c r="AK450" s="15"/>
      <c r="AL450" s="15"/>
      <c r="AM450" s="15"/>
      <c r="AN450" s="15"/>
      <c r="AO450" s="15"/>
      <c r="AP450" s="15"/>
    </row>
    <row r="451" spans="2:42" hidden="1" x14ac:dyDescent="0.25"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15"/>
      <c r="AK451" s="15"/>
      <c r="AL451" s="15"/>
      <c r="AM451" s="15"/>
      <c r="AN451" s="15"/>
      <c r="AO451" s="15"/>
      <c r="AP451" s="15"/>
    </row>
    <row r="452" spans="2:42" hidden="1" x14ac:dyDescent="0.25"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15"/>
      <c r="AK452" s="15"/>
      <c r="AL452" s="15"/>
      <c r="AM452" s="15"/>
      <c r="AN452" s="15"/>
      <c r="AO452" s="15"/>
      <c r="AP452" s="15"/>
    </row>
    <row r="453" spans="2:42" hidden="1" x14ac:dyDescent="0.25"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15"/>
      <c r="AK453" s="15"/>
      <c r="AL453" s="15"/>
      <c r="AM453" s="15"/>
      <c r="AN453" s="15"/>
      <c r="AO453" s="15"/>
      <c r="AP453" s="15"/>
    </row>
    <row r="454" spans="2:42" hidden="1" x14ac:dyDescent="0.25"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15"/>
      <c r="AK454" s="15"/>
      <c r="AL454" s="15"/>
      <c r="AM454" s="15"/>
      <c r="AN454" s="15"/>
      <c r="AO454" s="15"/>
      <c r="AP454" s="15"/>
    </row>
    <row r="455" spans="2:42" hidden="1" x14ac:dyDescent="0.25"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15"/>
      <c r="AK455" s="15"/>
      <c r="AL455" s="15"/>
      <c r="AM455" s="15"/>
      <c r="AN455" s="15"/>
      <c r="AO455" s="15"/>
      <c r="AP455" s="15"/>
    </row>
    <row r="456" spans="2:42" x14ac:dyDescent="0.25"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15"/>
      <c r="AK456" s="15"/>
      <c r="AL456" s="15"/>
      <c r="AM456" s="15"/>
      <c r="AN456" s="15"/>
      <c r="AO456" s="15"/>
      <c r="AP456" s="15"/>
    </row>
  </sheetData>
  <sheetProtection sheet="1" objects="1"/>
  <mergeCells count="128">
    <mergeCell ref="C75:AI75"/>
    <mergeCell ref="C76:AI76"/>
    <mergeCell ref="C81:AI81"/>
    <mergeCell ref="C82:AI82"/>
    <mergeCell ref="M46:P47"/>
    <mergeCell ref="Q46:AI46"/>
    <mergeCell ref="Q47:AI47"/>
    <mergeCell ref="C37:C47"/>
    <mergeCell ref="C11:C12"/>
    <mergeCell ref="D11:L12"/>
    <mergeCell ref="M11:P12"/>
    <mergeCell ref="Q11:AI11"/>
    <mergeCell ref="Q12:AI12"/>
    <mergeCell ref="C19:C20"/>
    <mergeCell ref="D19:L20"/>
    <mergeCell ref="M19:P20"/>
    <mergeCell ref="D22:L23"/>
    <mergeCell ref="M22:P23"/>
    <mergeCell ref="Q13:AI13"/>
    <mergeCell ref="Q14:AI14"/>
    <mergeCell ref="C15:C16"/>
    <mergeCell ref="D15:L16"/>
    <mergeCell ref="M15:P16"/>
    <mergeCell ref="C17:C18"/>
    <mergeCell ref="D17:L18"/>
    <mergeCell ref="M17:P18"/>
    <mergeCell ref="Q20:AI20"/>
    <mergeCell ref="Q22:AI22"/>
    <mergeCell ref="Q16:AI16"/>
    <mergeCell ref="Q17:AI17"/>
    <mergeCell ref="Q18:AI18"/>
    <mergeCell ref="Q19:AI19"/>
    <mergeCell ref="Q15:AI15"/>
    <mergeCell ref="C13:C14"/>
    <mergeCell ref="D13:L14"/>
    <mergeCell ref="M13:P14"/>
    <mergeCell ref="AF5:AI5"/>
    <mergeCell ref="AF6:AI6"/>
    <mergeCell ref="AF7:AI7"/>
    <mergeCell ref="K6:W6"/>
    <mergeCell ref="K8:W8"/>
    <mergeCell ref="Y5:AD5"/>
    <mergeCell ref="Y6:AD6"/>
    <mergeCell ref="Y7:AD7"/>
    <mergeCell ref="Y8:AD8"/>
    <mergeCell ref="K5:W5"/>
    <mergeCell ref="K7:W7"/>
    <mergeCell ref="C29:C32"/>
    <mergeCell ref="D29:L30"/>
    <mergeCell ref="M29:P30"/>
    <mergeCell ref="D31:L32"/>
    <mergeCell ref="M31:P32"/>
    <mergeCell ref="Q32:AI32"/>
    <mergeCell ref="D24:L25"/>
    <mergeCell ref="M24:P25"/>
    <mergeCell ref="D28:L28"/>
    <mergeCell ref="M28:P28"/>
    <mergeCell ref="C21:C25"/>
    <mergeCell ref="Q29:AI29"/>
    <mergeCell ref="Q30:AI30"/>
    <mergeCell ref="Q31:AI31"/>
    <mergeCell ref="Q25:AI25"/>
    <mergeCell ref="Q28:AI28"/>
    <mergeCell ref="Q24:AI24"/>
    <mergeCell ref="Q23:AI23"/>
    <mergeCell ref="Q36:AI36"/>
    <mergeCell ref="Q38:AI38"/>
    <mergeCell ref="D37:AI37"/>
    <mergeCell ref="D38:L39"/>
    <mergeCell ref="M38:P39"/>
    <mergeCell ref="D40:L41"/>
    <mergeCell ref="M40:P41"/>
    <mergeCell ref="C33:C34"/>
    <mergeCell ref="D33:L34"/>
    <mergeCell ref="M33:P34"/>
    <mergeCell ref="Q33:AI33"/>
    <mergeCell ref="Q34:AI34"/>
    <mergeCell ref="C35:C36"/>
    <mergeCell ref="D35:L36"/>
    <mergeCell ref="M35:P36"/>
    <mergeCell ref="C3:AJ3"/>
    <mergeCell ref="Q35:AI35"/>
    <mergeCell ref="D46:L47"/>
    <mergeCell ref="D44:L45"/>
    <mergeCell ref="M44:P45"/>
    <mergeCell ref="E67:H67"/>
    <mergeCell ref="E68:J68"/>
    <mergeCell ref="X68:AC68"/>
    <mergeCell ref="C59:AI59"/>
    <mergeCell ref="T61:AI61"/>
    <mergeCell ref="D51:N51"/>
    <mergeCell ref="O51:AI51"/>
    <mergeCell ref="C58:AI58"/>
    <mergeCell ref="T64:AA64"/>
    <mergeCell ref="T62:AI63"/>
    <mergeCell ref="AB64:AI64"/>
    <mergeCell ref="C61:Q61"/>
    <mergeCell ref="C63:L63"/>
    <mergeCell ref="Q44:AI44"/>
    <mergeCell ref="Q45:AI45"/>
    <mergeCell ref="Q39:AI39"/>
    <mergeCell ref="Q40:AI40"/>
    <mergeCell ref="Q41:AI41"/>
    <mergeCell ref="Q42:AI42"/>
    <mergeCell ref="C62:L62"/>
    <mergeCell ref="C64:L64"/>
    <mergeCell ref="N62:Q62"/>
    <mergeCell ref="N63:Q63"/>
    <mergeCell ref="N64:Q64"/>
    <mergeCell ref="L1:X1"/>
    <mergeCell ref="D52:N52"/>
    <mergeCell ref="D53:N53"/>
    <mergeCell ref="D54:N54"/>
    <mergeCell ref="D55:N55"/>
    <mergeCell ref="D56:N56"/>
    <mergeCell ref="O52:AI52"/>
    <mergeCell ref="O53:AI53"/>
    <mergeCell ref="O54:AI54"/>
    <mergeCell ref="O55:AI55"/>
    <mergeCell ref="O56:AI56"/>
    <mergeCell ref="D42:L43"/>
    <mergeCell ref="M42:P43"/>
    <mergeCell ref="Q43:AI43"/>
    <mergeCell ref="D21:AI21"/>
    <mergeCell ref="Y1:Z1"/>
    <mergeCell ref="D10:L10"/>
    <mergeCell ref="M10:P10"/>
    <mergeCell ref="Q10:AI10"/>
  </mergeCells>
  <pageMargins left="0.39370078740157483" right="0.23622047244094491" top="0.74803149606299213" bottom="0.74803149606299213" header="0.31496062992125984" footer="0.31496062992125984"/>
  <pageSetup orientation="portrait" horizontalDpi="1200" verticalDpi="1200" r:id="rId1"/>
  <rowBreaks count="1" manualBreakCount="1">
    <brk id="26" max="16383" man="1"/>
  </rowBreaks>
  <drawing r:id="rId2"/>
  <legacyDrawing r:id="rId3"/>
  <controls>
    <mc:AlternateContent xmlns:mc="http://schemas.openxmlformats.org/markup-compatibility/2006">
      <mc:Choice Requires="x14">
        <control shapeId="58399" r:id="rId4" name="CetakRapor">
          <controlPr defaultSize="0" autoLine="0" r:id="rId5">
            <anchor moveWithCells="1">
              <from>
                <xdr:col>36</xdr:col>
                <xdr:colOff>9525</xdr:colOff>
                <xdr:row>0</xdr:row>
                <xdr:rowOff>38100</xdr:rowOff>
              </from>
              <to>
                <xdr:col>37</xdr:col>
                <xdr:colOff>504825</xdr:colOff>
                <xdr:row>0</xdr:row>
                <xdr:rowOff>361950</xdr:rowOff>
              </to>
            </anchor>
          </controlPr>
        </control>
      </mc:Choice>
      <mc:Fallback>
        <control shapeId="58399" r:id="rId4" name="CetakRapor"/>
      </mc:Fallback>
    </mc:AlternateContent>
    <mc:AlternateContent xmlns:mc="http://schemas.openxmlformats.org/markup-compatibility/2006">
      <mc:Choice Requires="x14">
        <control shapeId="58369" r:id="rId6" name="CommandButton1">
          <controlPr defaultSize="0" autoLine="0" autoPict="0" r:id="rId7">
            <anchor moveWithCells="1">
              <from>
                <xdr:col>1</xdr:col>
                <xdr:colOff>66675</xdr:colOff>
                <xdr:row>0</xdr:row>
                <xdr:rowOff>38100</xdr:rowOff>
              </from>
              <to>
                <xdr:col>10</xdr:col>
                <xdr:colOff>66675</xdr:colOff>
                <xdr:row>0</xdr:row>
                <xdr:rowOff>371475</xdr:rowOff>
              </to>
            </anchor>
          </controlPr>
        </control>
      </mc:Choice>
      <mc:Fallback>
        <control shapeId="58369" r:id="rId6" name="CommandButton1"/>
      </mc:Fallback>
    </mc:AlternateContent>
    <mc:AlternateContent xmlns:mc="http://schemas.openxmlformats.org/markup-compatibility/2006">
      <mc:Choice Requires="x14">
        <control shapeId="58383" r:id="rId8" name="SpinButton1">
          <controlPr defaultSize="0" autoLine="0" autoPict="0" r:id="rId9">
            <anchor moveWithCells="1">
              <from>
                <xdr:col>26</xdr:col>
                <xdr:colOff>57150</xdr:colOff>
                <xdr:row>0</xdr:row>
                <xdr:rowOff>38100</xdr:rowOff>
              </from>
              <to>
                <xdr:col>35</xdr:col>
                <xdr:colOff>57150</xdr:colOff>
                <xdr:row>0</xdr:row>
                <xdr:rowOff>361950</xdr:rowOff>
              </to>
            </anchor>
          </controlPr>
        </control>
      </mc:Choice>
      <mc:Fallback>
        <control shapeId="58383" r:id="rId8" name="SpinButton1"/>
      </mc:Fallback>
    </mc:AlternateContent>
    <mc:AlternateContent xmlns:mc="http://schemas.openxmlformats.org/markup-compatibility/2006">
      <mc:Choice Requires="x14">
        <control shapeId="58384" r:id="rId10" name="Drop Down 16">
          <controlPr defaultSize="0" print="0" autoLine="0" autoPict="0" macro="[0]!AturTampilanSeniRapor">
            <anchor moveWithCells="1">
              <from>
                <xdr:col>8</xdr:col>
                <xdr:colOff>19050</xdr:colOff>
                <xdr:row>20</xdr:row>
                <xdr:rowOff>19050</xdr:rowOff>
              </from>
              <to>
                <xdr:col>10</xdr:col>
                <xdr:colOff>19050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385" r:id="rId11" name="Drop Down 17">
          <controlPr defaultSize="0" print="0" autoLine="0" autoPict="0" macro="[0]!AturTampilanMulokRapor">
            <anchor moveWithCells="1">
              <from>
                <xdr:col>7</xdr:col>
                <xdr:colOff>142875</xdr:colOff>
                <xdr:row>36</xdr:row>
                <xdr:rowOff>19050</xdr:rowOff>
              </from>
              <to>
                <xdr:col>9</xdr:col>
                <xdr:colOff>76200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386" r:id="rId12" name="Drop Down 18">
          <controlPr defaultSize="0" print="0" autoLine="0" autoPict="0" macro="[0]!AturTampilanEkskulRapor">
            <anchor moveWithCells="1">
              <from>
                <xdr:col>11</xdr:col>
                <xdr:colOff>133350</xdr:colOff>
                <xdr:row>50</xdr:row>
                <xdr:rowOff>19050</xdr:rowOff>
              </from>
              <to>
                <xdr:col>13</xdr:col>
                <xdr:colOff>66675</xdr:colOff>
                <xdr:row>50</xdr:row>
                <xdr:rowOff>161925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0E90-7229-49AF-B7AF-9DB09EC40290}">
  <sheetPr codeName="Sheet28"/>
  <dimension ref="A1:AL128"/>
  <sheetViews>
    <sheetView view="pageBreakPreview" zoomScale="70" zoomScaleNormal="100" zoomScaleSheetLayoutView="70" workbookViewId="0">
      <pane ySplit="2" topLeftCell="A72" activePane="bottomLeft" state="frozen"/>
      <selection pane="bottomLeft" activeCell="Y112" sqref="Y112"/>
    </sheetView>
  </sheetViews>
  <sheetFormatPr defaultColWidth="0" defaultRowHeight="15" zeroHeight="1" x14ac:dyDescent="0.25"/>
  <cols>
    <col min="1" max="1" width="16" style="15" customWidth="1"/>
    <col min="2" max="2" width="2.140625" customWidth="1"/>
    <col min="3" max="3" width="4" customWidth="1"/>
    <col min="4" max="29" width="2.85546875" customWidth="1"/>
    <col min="30" max="30" width="2.42578125" customWidth="1"/>
    <col min="31" max="35" width="2.85546875" customWidth="1"/>
    <col min="36" max="36" width="1.7109375" customWidth="1"/>
    <col min="37" max="38" width="9.140625" style="15" customWidth="1"/>
    <col min="39" max="16384" width="9.140625" hidden="1"/>
  </cols>
  <sheetData>
    <row r="1" spans="1:36" ht="34.5" customHeight="1" x14ac:dyDescent="0.25">
      <c r="B1" s="88"/>
      <c r="C1" s="89"/>
      <c r="D1" s="89"/>
      <c r="E1" s="89"/>
      <c r="F1" s="89"/>
      <c r="G1" s="89"/>
      <c r="H1" s="89"/>
      <c r="I1" s="89"/>
      <c r="J1" s="89"/>
      <c r="K1" s="89"/>
      <c r="L1" s="216" t="str">
        <f>UPPER(IFERROR(VLOOKUP($Y$1,'Identitas Siswa'!A8:D67,4,FALSE),""))</f>
        <v>ABHY ARFA RIDHO HIBATULLAH</v>
      </c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21">
        <v>1</v>
      </c>
      <c r="Z1" s="221"/>
      <c r="AA1" s="89"/>
      <c r="AB1" s="89"/>
      <c r="AC1" s="89"/>
      <c r="AD1" s="89"/>
      <c r="AE1" s="89"/>
      <c r="AF1" s="89"/>
      <c r="AG1" s="89"/>
      <c r="AH1" s="89"/>
      <c r="AI1" s="89"/>
      <c r="AJ1" s="88"/>
    </row>
    <row r="3" spans="1:36" s="15" customFormat="1" x14ac:dyDescent="0.25"/>
    <row r="4" spans="1:36" x14ac:dyDescent="0.25"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</row>
    <row r="5" spans="1:36" ht="16.5" customHeight="1" x14ac:dyDescent="0.25">
      <c r="A5" s="125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90"/>
    </row>
    <row r="6" spans="1:36" ht="16.5" customHeight="1" x14ac:dyDescent="0.25">
      <c r="A6" s="125"/>
      <c r="B6" s="108"/>
      <c r="C6" s="109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</row>
    <row r="7" spans="1:36" ht="16.5" customHeight="1" x14ac:dyDescent="0.25">
      <c r="A7" s="125"/>
      <c r="B7" s="108"/>
      <c r="C7" s="109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</row>
    <row r="8" spans="1:36" ht="16.5" customHeight="1" x14ac:dyDescent="0.25">
      <c r="A8" s="125"/>
      <c r="B8" s="108"/>
      <c r="C8" s="109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</row>
    <row r="9" spans="1:36" ht="16.5" customHeight="1" x14ac:dyDescent="0.25">
      <c r="A9" s="125"/>
      <c r="B9" s="108"/>
      <c r="C9" s="109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</row>
    <row r="10" spans="1:36" ht="16.5" customHeight="1" x14ac:dyDescent="0.25">
      <c r="A10" s="125"/>
      <c r="B10" s="108"/>
      <c r="C10" s="109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</row>
    <row r="11" spans="1:36" ht="16.5" customHeight="1" x14ac:dyDescent="0.25">
      <c r="A11" s="125"/>
      <c r="B11" s="108"/>
      <c r="C11" s="109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</row>
    <row r="12" spans="1:36" ht="16.5" customHeight="1" x14ac:dyDescent="0.25">
      <c r="A12" s="125"/>
      <c r="B12" s="108"/>
      <c r="C12" s="108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</row>
    <row r="13" spans="1:36" ht="16.5" customHeight="1" x14ac:dyDescent="0.25">
      <c r="A13" s="125"/>
      <c r="B13" s="108"/>
      <c r="C13" s="108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</row>
    <row r="14" spans="1:36" ht="16.5" customHeight="1" x14ac:dyDescent="0.25">
      <c r="A14" s="125"/>
      <c r="B14" s="108"/>
      <c r="C14" s="108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</row>
    <row r="15" spans="1:36" ht="16.5" customHeight="1" x14ac:dyDescent="0.25">
      <c r="A15" s="125"/>
      <c r="B15" s="108"/>
      <c r="C15" s="252" t="s">
        <v>456</v>
      </c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90"/>
    </row>
    <row r="16" spans="1:36" ht="22.5" customHeight="1" x14ac:dyDescent="0.3">
      <c r="A16" s="126"/>
      <c r="B16" s="110"/>
      <c r="C16" s="253" t="s">
        <v>441</v>
      </c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  <c r="AA16" s="253"/>
      <c r="AB16" s="253"/>
      <c r="AC16" s="253"/>
      <c r="AD16" s="253"/>
      <c r="AE16" s="253"/>
      <c r="AF16" s="253"/>
      <c r="AG16" s="253"/>
      <c r="AH16" s="253"/>
      <c r="AI16" s="253"/>
      <c r="AJ16" s="90"/>
    </row>
    <row r="17" spans="1:36" ht="22.5" customHeight="1" x14ac:dyDescent="0.3">
      <c r="A17" s="126"/>
      <c r="B17" s="110"/>
      <c r="C17" s="253" t="s">
        <v>442</v>
      </c>
      <c r="D17" s="253"/>
      <c r="E17" s="253"/>
      <c r="F17" s="253"/>
      <c r="G17" s="253"/>
      <c r="H17" s="253"/>
      <c r="I17" s="253"/>
      <c r="J17" s="253"/>
      <c r="K17" s="253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3"/>
      <c r="AB17" s="253"/>
      <c r="AC17" s="253"/>
      <c r="AD17" s="253"/>
      <c r="AE17" s="253"/>
      <c r="AF17" s="253"/>
      <c r="AG17" s="253"/>
      <c r="AH17" s="253"/>
      <c r="AI17" s="253"/>
      <c r="AJ17" s="90"/>
    </row>
    <row r="18" spans="1:36" ht="22.5" customHeight="1" x14ac:dyDescent="0.3">
      <c r="A18" s="126"/>
      <c r="B18" s="110"/>
      <c r="C18" s="253" t="s">
        <v>443</v>
      </c>
      <c r="D18" s="253"/>
      <c r="E18" s="253"/>
      <c r="F18" s="253"/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3"/>
      <c r="AD18" s="253"/>
      <c r="AE18" s="253"/>
      <c r="AF18" s="253"/>
      <c r="AG18" s="253"/>
      <c r="AH18" s="253"/>
      <c r="AI18" s="253"/>
      <c r="AJ18" s="90"/>
    </row>
    <row r="19" spans="1:36" ht="22.5" customHeight="1" x14ac:dyDescent="0.3">
      <c r="A19" s="126"/>
      <c r="B19" s="110"/>
      <c r="C19" s="11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</row>
    <row r="20" spans="1:36" ht="15" customHeight="1" x14ac:dyDescent="0.25">
      <c r="A20" s="127"/>
      <c r="B20" s="109"/>
      <c r="C20" s="109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</row>
    <row r="21" spans="1:36" ht="25.5" x14ac:dyDescent="0.35">
      <c r="A21" s="128"/>
      <c r="B21" s="111"/>
      <c r="C21" s="111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</row>
    <row r="22" spans="1:36" ht="16.5" customHeight="1" x14ac:dyDescent="0.25">
      <c r="A22" s="125"/>
      <c r="B22" s="108"/>
      <c r="C22" s="108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</row>
    <row r="23" spans="1:36" ht="16.5" customHeight="1" x14ac:dyDescent="0.25">
      <c r="A23" s="125"/>
      <c r="B23" s="108"/>
      <c r="C23" s="108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</row>
    <row r="24" spans="1:36" ht="22.5" customHeight="1" thickBot="1" x14ac:dyDescent="0.3">
      <c r="A24" s="129"/>
      <c r="B24" s="112"/>
      <c r="C24" s="258" t="s">
        <v>458</v>
      </c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  <c r="AB24" s="258"/>
      <c r="AC24" s="258"/>
      <c r="AD24" s="258"/>
      <c r="AE24" s="258"/>
      <c r="AF24" s="258"/>
      <c r="AG24" s="258"/>
      <c r="AH24" s="258"/>
      <c r="AI24" s="258"/>
      <c r="AJ24" s="90"/>
    </row>
    <row r="25" spans="1:36" ht="30" customHeight="1" thickBot="1" x14ac:dyDescent="0.35">
      <c r="A25" s="130"/>
      <c r="B25" s="113"/>
      <c r="C25" s="113"/>
      <c r="D25" s="90"/>
      <c r="E25" s="90"/>
      <c r="F25" s="90"/>
      <c r="G25" s="90"/>
      <c r="H25" s="90"/>
      <c r="I25" s="254" t="str">
        <f>UPPER(IFERROR(VLOOKUP($Y$1,'Identitas Siswa'!A8:D67,4,FALSE),""))</f>
        <v>ABHY ARFA RIDHO HIBATULLAH</v>
      </c>
      <c r="J25" s="255"/>
      <c r="K25" s="255"/>
      <c r="L25" s="255"/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255"/>
      <c r="Z25" s="255"/>
      <c r="AA25" s="256"/>
      <c r="AB25" s="90"/>
      <c r="AC25" s="90"/>
      <c r="AD25" s="90"/>
      <c r="AE25" s="90"/>
      <c r="AF25" s="90"/>
      <c r="AG25" s="90"/>
      <c r="AH25" s="90"/>
      <c r="AI25" s="90"/>
      <c r="AJ25" s="90"/>
    </row>
    <row r="26" spans="1:36" ht="22.5" customHeight="1" thickBot="1" x14ac:dyDescent="0.3">
      <c r="A26" s="131"/>
      <c r="B26" s="114"/>
      <c r="C26" s="258" t="s">
        <v>384</v>
      </c>
      <c r="D26" s="258"/>
      <c r="E26" s="258"/>
      <c r="F26" s="258"/>
      <c r="G26" s="258"/>
      <c r="H26" s="258"/>
      <c r="I26" s="258"/>
      <c r="J26" s="258"/>
      <c r="K26" s="258"/>
      <c r="L26" s="258"/>
      <c r="M26" s="258"/>
      <c r="N26" s="258"/>
      <c r="O26" s="258"/>
      <c r="P26" s="258"/>
      <c r="Q26" s="258"/>
      <c r="R26" s="258"/>
      <c r="S26" s="258"/>
      <c r="T26" s="258"/>
      <c r="U26" s="258"/>
      <c r="V26" s="258"/>
      <c r="W26" s="258"/>
      <c r="X26" s="258"/>
      <c r="Y26" s="258"/>
      <c r="Z26" s="258"/>
      <c r="AA26" s="258"/>
      <c r="AB26" s="258"/>
      <c r="AC26" s="258"/>
      <c r="AD26" s="258"/>
      <c r="AE26" s="258"/>
      <c r="AF26" s="258"/>
      <c r="AG26" s="258"/>
      <c r="AH26" s="258"/>
      <c r="AI26" s="258"/>
      <c r="AJ26" s="90"/>
    </row>
    <row r="27" spans="1:36" ht="30.75" customHeight="1" thickBot="1" x14ac:dyDescent="0.3">
      <c r="A27" s="125"/>
      <c r="B27" s="108"/>
      <c r="C27" s="108"/>
      <c r="D27" s="90"/>
      <c r="E27" s="90"/>
      <c r="F27" s="90"/>
      <c r="G27" s="90"/>
      <c r="H27" s="90"/>
      <c r="I27" s="254" t="str">
        <f>_xlfn.LET(_xlpm.nisn, IFERROR(VLOOKUP($Y$1, 'Identitas Siswa'!A8:D67, 2, FALSE), ""), _xlpm.nis, IFERROR(VLOOKUP($Y$1, 'Identitas Siswa'!A8:D67, 3, FALSE), ""), _xlfn.TEXTJOIN(" / ", TRUE, IF(_xlpm.nisn=0,"",_xlpm.nisn), IF(_xlpm.nis=0,"",_xlpm.nis)))</f>
        <v>3149274777 / 202101001</v>
      </c>
      <c r="J27" s="255"/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6"/>
      <c r="AB27" s="90"/>
      <c r="AC27" s="90"/>
      <c r="AD27" s="90"/>
      <c r="AE27" s="90"/>
      <c r="AF27" s="90"/>
      <c r="AG27" s="90"/>
      <c r="AH27" s="90"/>
      <c r="AI27" s="90"/>
      <c r="AJ27" s="90"/>
    </row>
    <row r="28" spans="1:36" ht="18.75" customHeight="1" x14ac:dyDescent="0.25">
      <c r="A28" s="132"/>
      <c r="B28" s="115"/>
      <c r="C28" s="115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</row>
    <row r="29" spans="1:36" ht="16.5" customHeight="1" x14ac:dyDescent="0.25">
      <c r="A29" s="125"/>
      <c r="B29" s="108"/>
      <c r="C29" s="108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</row>
    <row r="30" spans="1:36" ht="22.5" customHeight="1" x14ac:dyDescent="0.25">
      <c r="A30" s="131"/>
      <c r="B30" s="114"/>
      <c r="C30" s="114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</row>
    <row r="31" spans="1:36" ht="16.5" customHeight="1" x14ac:dyDescent="0.25">
      <c r="A31" s="125"/>
      <c r="B31" s="108"/>
      <c r="C31" s="108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</row>
    <row r="32" spans="1:36" ht="16.5" customHeight="1" x14ac:dyDescent="0.25">
      <c r="A32" s="125"/>
      <c r="B32" s="108"/>
      <c r="C32" s="108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</row>
    <row r="33" spans="1:36" ht="16.5" customHeight="1" x14ac:dyDescent="0.25">
      <c r="A33" s="125"/>
      <c r="B33" s="108"/>
      <c r="C33" s="108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</row>
    <row r="34" spans="1:36" ht="32.25" customHeight="1" x14ac:dyDescent="0.25">
      <c r="A34" s="133"/>
      <c r="B34" s="116"/>
      <c r="C34" s="116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</row>
    <row r="35" spans="1:36" ht="15" customHeight="1" x14ac:dyDescent="0.25">
      <c r="A35" s="133"/>
      <c r="B35" s="116"/>
      <c r="C35" s="116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</row>
    <row r="36" spans="1:36" ht="16.5" customHeight="1" x14ac:dyDescent="0.25">
      <c r="A36" s="125"/>
      <c r="B36" s="108"/>
      <c r="C36" s="257" t="s">
        <v>444</v>
      </c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90"/>
      <c r="AJ36" s="90"/>
    </row>
    <row r="37" spans="1:36" ht="16.5" customHeight="1" x14ac:dyDescent="0.3">
      <c r="A37" s="125"/>
      <c r="B37" s="108"/>
      <c r="C37" s="248" t="s">
        <v>459</v>
      </c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90"/>
      <c r="AJ37" s="90"/>
    </row>
    <row r="38" spans="1:36" ht="16.5" x14ac:dyDescent="0.25">
      <c r="A38" s="134"/>
      <c r="B38" s="117"/>
      <c r="C38" s="117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</row>
    <row r="39" spans="1:36" ht="16.5" x14ac:dyDescent="0.25">
      <c r="A39" s="134"/>
      <c r="B39" s="117"/>
      <c r="C39" s="117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</row>
    <row r="40" spans="1:36" ht="20.25" x14ac:dyDescent="0.3">
      <c r="A40" s="135"/>
      <c r="B40" s="118"/>
      <c r="C40" s="118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</row>
    <row r="41" spans="1:36" ht="20.25" x14ac:dyDescent="0.3">
      <c r="A41" s="135"/>
      <c r="B41" s="118"/>
      <c r="C41" s="118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</row>
    <row r="42" spans="1:36" ht="20.25" x14ac:dyDescent="0.3">
      <c r="A42" s="135"/>
      <c r="B42" s="118"/>
      <c r="C42" s="118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</row>
    <row r="43" spans="1:36" ht="16.5" x14ac:dyDescent="0.25">
      <c r="A43" s="125"/>
      <c r="B43" s="108"/>
      <c r="C43" s="108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</row>
    <row r="44" spans="1:36" ht="16.5" x14ac:dyDescent="0.25">
      <c r="A44" s="125"/>
      <c r="B44" s="108"/>
      <c r="C44" s="108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</row>
    <row r="45" spans="1:36" ht="16.5" x14ac:dyDescent="0.25">
      <c r="A45" s="125"/>
      <c r="B45" s="108"/>
      <c r="C45" s="108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</row>
    <row r="46" spans="1:36" ht="18.75" x14ac:dyDescent="0.3">
      <c r="A46" s="136"/>
      <c r="B46" s="113"/>
      <c r="C46" s="113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</row>
    <row r="47" spans="1:36" ht="18.75" x14ac:dyDescent="0.3">
      <c r="A47" s="136"/>
      <c r="B47" s="119"/>
      <c r="C47" s="113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</row>
    <row r="48" spans="1:36" ht="18.75" x14ac:dyDescent="0.3">
      <c r="A48" s="136"/>
      <c r="B48" s="113"/>
      <c r="C48" s="113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</row>
    <row r="49" spans="1:36" ht="18.75" x14ac:dyDescent="0.3">
      <c r="A49" s="136"/>
      <c r="B49" s="119"/>
      <c r="C49" s="113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</row>
    <row r="50" spans="1:36" ht="18.75" x14ac:dyDescent="0.3">
      <c r="A50" s="136"/>
      <c r="B50" s="113"/>
      <c r="C50" s="113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</row>
    <row r="51" spans="1:36" ht="18.75" x14ac:dyDescent="0.3">
      <c r="A51" s="136"/>
      <c r="B51" s="113"/>
      <c r="C51" s="113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  <c r="AJ51" s="90"/>
    </row>
    <row r="52" spans="1:36" ht="18.75" x14ac:dyDescent="0.3">
      <c r="A52" s="136"/>
      <c r="B52" s="113"/>
      <c r="C52" s="248" t="s">
        <v>456</v>
      </c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48"/>
      <c r="AG52" s="248"/>
      <c r="AH52" s="248"/>
      <c r="AI52" s="248"/>
      <c r="AJ52" s="90"/>
    </row>
    <row r="53" spans="1:36" ht="18.75" x14ac:dyDescent="0.3">
      <c r="A53" s="136"/>
      <c r="B53" s="113"/>
      <c r="C53" s="248" t="s">
        <v>457</v>
      </c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  <c r="AA53" s="248"/>
      <c r="AB53" s="248"/>
      <c r="AC53" s="248"/>
      <c r="AD53" s="248"/>
      <c r="AE53" s="248"/>
      <c r="AF53" s="248"/>
      <c r="AG53" s="248"/>
      <c r="AH53" s="248"/>
      <c r="AI53" s="248"/>
      <c r="AJ53" s="90"/>
    </row>
    <row r="54" spans="1:36" ht="18.75" x14ac:dyDescent="0.3">
      <c r="A54" s="136"/>
      <c r="B54" s="113"/>
      <c r="C54" s="248" t="s">
        <v>442</v>
      </c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90"/>
    </row>
    <row r="55" spans="1:36" ht="18.75" x14ac:dyDescent="0.3">
      <c r="A55" s="136"/>
      <c r="B55" s="113"/>
      <c r="C55" s="248" t="s">
        <v>443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I55" s="248"/>
      <c r="AJ55" s="90"/>
    </row>
    <row r="56" spans="1:36" ht="16.5" x14ac:dyDescent="0.25">
      <c r="A56" s="125"/>
      <c r="B56" s="108"/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90"/>
    </row>
    <row r="57" spans="1:36" ht="16.5" x14ac:dyDescent="0.25">
      <c r="A57" s="125"/>
      <c r="B57" s="108"/>
      <c r="C57" s="120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90"/>
    </row>
    <row r="58" spans="1:36" ht="16.5" x14ac:dyDescent="0.25">
      <c r="A58" s="125"/>
      <c r="B58" s="108"/>
      <c r="C58" s="120"/>
      <c r="D58" s="121"/>
      <c r="E58" s="121"/>
      <c r="F58" s="121"/>
      <c r="G58" s="121"/>
      <c r="H58" s="122" t="s">
        <v>386</v>
      </c>
      <c r="I58" s="122"/>
      <c r="J58" s="122"/>
      <c r="K58" s="122"/>
      <c r="L58" s="122"/>
      <c r="M58" s="122"/>
      <c r="N58" s="122"/>
      <c r="O58" s="122" t="s">
        <v>1</v>
      </c>
      <c r="P58" s="251" t="str">
        <f>UPPER('Profil Sekolah'!D6)</f>
        <v>SD NEGERI CICOHAG</v>
      </c>
      <c r="Q58" s="251"/>
      <c r="R58" s="251"/>
      <c r="S58" s="251"/>
      <c r="T58" s="251"/>
      <c r="U58" s="251"/>
      <c r="V58" s="251"/>
      <c r="W58" s="251"/>
      <c r="X58" s="251"/>
      <c r="Y58" s="251"/>
      <c r="Z58" s="251"/>
      <c r="AA58" s="122"/>
      <c r="AB58" s="122"/>
      <c r="AC58" s="122"/>
      <c r="AD58" s="122"/>
      <c r="AE58" s="122"/>
      <c r="AF58" s="122"/>
      <c r="AG58" s="121"/>
      <c r="AH58" s="121"/>
      <c r="AI58" s="121"/>
      <c r="AJ58" s="90"/>
    </row>
    <row r="59" spans="1:36" ht="16.5" x14ac:dyDescent="0.25">
      <c r="A59" s="125"/>
      <c r="B59" s="108"/>
      <c r="C59" s="120"/>
      <c r="D59" s="121"/>
      <c r="E59" s="121"/>
      <c r="F59" s="121"/>
      <c r="G59" s="121"/>
      <c r="H59" s="122" t="s">
        <v>3</v>
      </c>
      <c r="I59" s="122"/>
      <c r="J59" s="122"/>
      <c r="K59" s="122"/>
      <c r="L59" s="122"/>
      <c r="M59" s="122"/>
      <c r="N59" s="122"/>
      <c r="O59" s="122" t="s">
        <v>1</v>
      </c>
      <c r="P59" s="250">
        <f>'Profil Sekolah'!D8</f>
        <v>101020607020</v>
      </c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122"/>
      <c r="AB59" s="122"/>
      <c r="AC59" s="122"/>
      <c r="AD59" s="122"/>
      <c r="AE59" s="122"/>
      <c r="AF59" s="122"/>
      <c r="AG59" s="121"/>
      <c r="AH59" s="121"/>
      <c r="AI59" s="121"/>
      <c r="AJ59" s="90"/>
    </row>
    <row r="60" spans="1:36" ht="16.5" x14ac:dyDescent="0.25">
      <c r="A60" s="125"/>
      <c r="B60" s="108"/>
      <c r="C60" s="120"/>
      <c r="D60" s="121"/>
      <c r="E60" s="121"/>
      <c r="F60" s="121"/>
      <c r="G60" s="121"/>
      <c r="H60" s="122" t="s">
        <v>4</v>
      </c>
      <c r="I60" s="122"/>
      <c r="J60" s="122"/>
      <c r="K60" s="122"/>
      <c r="L60" s="122"/>
      <c r="M60" s="122"/>
      <c r="N60" s="122"/>
      <c r="O60" s="122" t="s">
        <v>1</v>
      </c>
      <c r="P60" s="251">
        <f>'Profil Sekolah'!D7</f>
        <v>20202721</v>
      </c>
      <c r="Q60" s="251"/>
      <c r="R60" s="251"/>
      <c r="S60" s="251"/>
      <c r="T60" s="251"/>
      <c r="U60" s="251"/>
      <c r="V60" s="251"/>
      <c r="W60" s="251"/>
      <c r="X60" s="251"/>
      <c r="Y60" s="251"/>
      <c r="Z60" s="251"/>
      <c r="AA60" s="122"/>
      <c r="AB60" s="122"/>
      <c r="AC60" s="122"/>
      <c r="AD60" s="122"/>
      <c r="AE60" s="122"/>
      <c r="AF60" s="122"/>
      <c r="AG60" s="121"/>
      <c r="AH60" s="121"/>
      <c r="AI60" s="121"/>
      <c r="AJ60" s="90"/>
    </row>
    <row r="61" spans="1:36" ht="16.5" hidden="1" x14ac:dyDescent="0.25">
      <c r="A61" s="125"/>
      <c r="B61" s="108"/>
      <c r="C61" s="120"/>
      <c r="D61" s="121"/>
      <c r="E61" s="121"/>
      <c r="F61" s="121"/>
      <c r="G61" s="121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1"/>
      <c r="AH61" s="121"/>
      <c r="AI61" s="121"/>
      <c r="AJ61" s="90"/>
    </row>
    <row r="62" spans="1:36" ht="16.5" hidden="1" x14ac:dyDescent="0.25">
      <c r="A62" s="125"/>
      <c r="B62" s="108"/>
      <c r="C62" s="120"/>
      <c r="D62" s="121"/>
      <c r="E62" s="121"/>
      <c r="F62" s="121"/>
      <c r="G62" s="121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1"/>
      <c r="AH62" s="121"/>
      <c r="AI62" s="121"/>
      <c r="AJ62" s="90"/>
    </row>
    <row r="63" spans="1:36" ht="16.5" x14ac:dyDescent="0.25">
      <c r="A63" s="125"/>
      <c r="B63" s="108"/>
      <c r="C63" s="120"/>
      <c r="D63" s="121"/>
      <c r="E63" s="121"/>
      <c r="F63" s="121"/>
      <c r="G63" s="121"/>
      <c r="H63" s="122" t="s">
        <v>388</v>
      </c>
      <c r="I63" s="122"/>
      <c r="J63" s="122"/>
      <c r="K63" s="122"/>
      <c r="L63" s="122"/>
      <c r="M63" s="122"/>
      <c r="N63" s="122"/>
      <c r="O63" s="122" t="s">
        <v>1</v>
      </c>
      <c r="P63" s="122" t="str">
        <f>'Profil Sekolah'!D9</f>
        <v>Jl. Siliwangi, No. 355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1"/>
      <c r="AH63" s="121"/>
      <c r="AI63" s="121"/>
      <c r="AJ63" s="90"/>
    </row>
    <row r="64" spans="1:36" ht="16.5" x14ac:dyDescent="0.25">
      <c r="A64" s="125"/>
      <c r="B64" s="108"/>
      <c r="C64" s="120"/>
      <c r="D64" s="121"/>
      <c r="E64" s="121"/>
      <c r="F64" s="121"/>
      <c r="G64" s="121"/>
      <c r="H64" s="122"/>
      <c r="I64" s="122"/>
      <c r="J64" s="122"/>
      <c r="K64" s="122"/>
      <c r="L64" s="122"/>
      <c r="M64" s="122"/>
      <c r="N64" s="122"/>
      <c r="O64" s="122"/>
      <c r="P64" s="122" t="str">
        <f>"Kode Pos. "&amp;'Profil Sekolah'!D14</f>
        <v>Kode Pos. 43152</v>
      </c>
      <c r="Q64" s="122"/>
      <c r="R64" s="122"/>
      <c r="S64" s="122"/>
      <c r="T64" s="122"/>
      <c r="U64" s="122"/>
      <c r="V64" s="122"/>
      <c r="W64" s="122"/>
      <c r="X64" s="122" t="s">
        <v>460</v>
      </c>
      <c r="Y64" s="122"/>
      <c r="Z64" s="122"/>
      <c r="AA64" s="251" t="str">
        <f>'Profil Sekolah'!D15</f>
        <v>-</v>
      </c>
      <c r="AB64" s="251"/>
      <c r="AC64" s="251"/>
      <c r="AD64" s="251"/>
      <c r="AE64" s="251"/>
      <c r="AF64" s="251"/>
      <c r="AG64" s="121"/>
      <c r="AH64" s="121"/>
      <c r="AI64" s="121"/>
      <c r="AJ64" s="90"/>
    </row>
    <row r="65" spans="1:36" ht="16.5" x14ac:dyDescent="0.25">
      <c r="A65" s="125"/>
      <c r="B65" s="108"/>
      <c r="C65" s="120"/>
      <c r="D65" s="121"/>
      <c r="E65" s="121"/>
      <c r="F65" s="121"/>
      <c r="G65" s="121"/>
      <c r="H65" s="122" t="s">
        <v>454</v>
      </c>
      <c r="I65" s="122"/>
      <c r="J65" s="122"/>
      <c r="K65" s="122"/>
      <c r="L65" s="122"/>
      <c r="M65" s="122"/>
      <c r="N65" s="122"/>
      <c r="O65" s="122" t="s">
        <v>1</v>
      </c>
      <c r="P65" s="122" t="str">
        <f>'Profil Sekolah'!D10</f>
        <v>Padaasih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1"/>
      <c r="AH65" s="121"/>
      <c r="AI65" s="121"/>
      <c r="AJ65" s="90"/>
    </row>
    <row r="66" spans="1:36" ht="16.5" x14ac:dyDescent="0.25">
      <c r="A66" s="125"/>
      <c r="B66" s="108"/>
      <c r="C66" s="120"/>
      <c r="D66" s="121"/>
      <c r="E66" s="121"/>
      <c r="F66" s="121"/>
      <c r="G66" s="121"/>
      <c r="H66" s="122" t="s">
        <v>61</v>
      </c>
      <c r="I66" s="122"/>
      <c r="J66" s="122"/>
      <c r="K66" s="122"/>
      <c r="L66" s="122"/>
      <c r="M66" s="122"/>
      <c r="N66" s="122"/>
      <c r="O66" s="122" t="s">
        <v>1</v>
      </c>
      <c r="P66" s="122" t="str">
        <f>'Profil Sekolah'!D11</f>
        <v>Cisaat</v>
      </c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1"/>
      <c r="AH66" s="121"/>
      <c r="AI66" s="121"/>
      <c r="AJ66" s="90"/>
    </row>
    <row r="67" spans="1:36" ht="16.5" x14ac:dyDescent="0.25">
      <c r="A67" s="125"/>
      <c r="B67" s="108"/>
      <c r="C67" s="120"/>
      <c r="D67" s="121"/>
      <c r="E67" s="121"/>
      <c r="F67" s="121"/>
      <c r="G67" s="121"/>
      <c r="H67" s="122" t="s">
        <v>445</v>
      </c>
      <c r="I67" s="122"/>
      <c r="J67" s="122"/>
      <c r="K67" s="122"/>
      <c r="L67" s="122"/>
      <c r="M67" s="122"/>
      <c r="N67" s="122"/>
      <c r="O67" s="122" t="s">
        <v>1</v>
      </c>
      <c r="P67" s="122" t="str">
        <f>'Profil Sekolah'!D12</f>
        <v>Kabupaten Sukabumi</v>
      </c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1"/>
      <c r="AH67" s="121"/>
      <c r="AI67" s="121"/>
      <c r="AJ67" s="90"/>
    </row>
    <row r="68" spans="1:36" ht="16.5" x14ac:dyDescent="0.25">
      <c r="A68" s="125"/>
      <c r="B68" s="108"/>
      <c r="C68" s="120"/>
      <c r="D68" s="121"/>
      <c r="E68" s="121"/>
      <c r="F68" s="121"/>
      <c r="G68" s="121"/>
      <c r="H68" s="122" t="s">
        <v>63</v>
      </c>
      <c r="I68" s="122"/>
      <c r="J68" s="122"/>
      <c r="K68" s="122"/>
      <c r="L68" s="122"/>
      <c r="M68" s="122"/>
      <c r="N68" s="122"/>
      <c r="O68" s="122" t="s">
        <v>1</v>
      </c>
      <c r="P68" s="122" t="str">
        <f>'Profil Sekolah'!D13</f>
        <v>Jawa Barat</v>
      </c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1"/>
      <c r="AH68" s="121"/>
      <c r="AI68" s="121"/>
      <c r="AJ68" s="90"/>
    </row>
    <row r="69" spans="1:36" ht="16.5" x14ac:dyDescent="0.25">
      <c r="A69" s="125"/>
      <c r="B69" s="108"/>
      <c r="C69" s="120"/>
      <c r="D69" s="121"/>
      <c r="E69" s="121"/>
      <c r="F69" s="121"/>
      <c r="G69" s="121"/>
      <c r="H69" s="122" t="s">
        <v>446</v>
      </c>
      <c r="I69" s="122"/>
      <c r="J69" s="122"/>
      <c r="K69" s="122"/>
      <c r="L69" s="122"/>
      <c r="M69" s="122"/>
      <c r="N69" s="122"/>
      <c r="O69" s="122" t="s">
        <v>1</v>
      </c>
      <c r="P69" s="122" t="str">
        <f>'Profil Sekolah'!D16</f>
        <v>-</v>
      </c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1"/>
      <c r="AH69" s="121"/>
      <c r="AI69" s="121"/>
      <c r="AJ69" s="90"/>
    </row>
    <row r="70" spans="1:36" ht="16.5" x14ac:dyDescent="0.25">
      <c r="A70" s="125"/>
      <c r="B70" s="108"/>
      <c r="C70" s="120"/>
      <c r="D70" s="121"/>
      <c r="E70" s="121"/>
      <c r="F70" s="121"/>
      <c r="G70" s="121"/>
      <c r="H70" s="122" t="s">
        <v>447</v>
      </c>
      <c r="I70" s="122"/>
      <c r="J70" s="122"/>
      <c r="K70" s="122"/>
      <c r="L70" s="122"/>
      <c r="M70" s="122"/>
      <c r="N70" s="122"/>
      <c r="O70" s="122" t="s">
        <v>1</v>
      </c>
      <c r="P70" s="122" t="str">
        <f>'Profil Sekolah'!D17</f>
        <v>sdncicohag49@gmail.com</v>
      </c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1"/>
      <c r="AH70" s="121"/>
      <c r="AI70" s="121"/>
      <c r="AJ70" s="90"/>
    </row>
    <row r="71" spans="1:36" ht="16.5" x14ac:dyDescent="0.25">
      <c r="A71" s="125"/>
      <c r="B71" s="108"/>
      <c r="C71" s="120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90"/>
    </row>
    <row r="72" spans="1:36" ht="16.5" x14ac:dyDescent="0.25">
      <c r="A72" s="125"/>
      <c r="B72" s="108"/>
      <c r="C72" s="120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90"/>
    </row>
    <row r="73" spans="1:36" ht="16.5" x14ac:dyDescent="0.25">
      <c r="A73" s="125"/>
      <c r="B73" s="108"/>
      <c r="C73" s="120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90"/>
    </row>
    <row r="74" spans="1:36" ht="16.5" x14ac:dyDescent="0.25">
      <c r="A74" s="125"/>
      <c r="B74" s="108"/>
      <c r="C74" s="108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</row>
    <row r="75" spans="1:36" ht="16.5" x14ac:dyDescent="0.25">
      <c r="A75" s="125"/>
      <c r="B75" s="108"/>
      <c r="C75" s="108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</row>
    <row r="76" spans="1:36" ht="16.5" x14ac:dyDescent="0.25">
      <c r="A76" s="125"/>
      <c r="B76" s="108"/>
      <c r="C76" s="108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</row>
    <row r="77" spans="1:36" ht="16.5" x14ac:dyDescent="0.25">
      <c r="A77" s="125"/>
      <c r="B77" s="108"/>
      <c r="C77" s="108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</row>
    <row r="78" spans="1:36" ht="16.5" x14ac:dyDescent="0.25">
      <c r="A78" s="125"/>
      <c r="B78" s="108"/>
      <c r="C78" s="108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</row>
    <row r="79" spans="1:36" ht="20.25" x14ac:dyDescent="0.3">
      <c r="A79" s="135"/>
      <c r="B79" s="118"/>
      <c r="C79" s="118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</row>
    <row r="80" spans="1:36" ht="16.5" x14ac:dyDescent="0.25">
      <c r="A80" s="125"/>
      <c r="B80" s="108"/>
      <c r="C80" s="108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</row>
    <row r="81" spans="1:36" ht="16.5" x14ac:dyDescent="0.25">
      <c r="A81" s="125"/>
      <c r="B81" s="108"/>
      <c r="C81" s="108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</row>
    <row r="82" spans="1:36" ht="16.5" x14ac:dyDescent="0.25">
      <c r="A82" s="137"/>
      <c r="B82" s="120"/>
      <c r="C82" s="108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</row>
    <row r="83" spans="1:36" ht="16.5" x14ac:dyDescent="0.25">
      <c r="A83" s="137"/>
      <c r="B83" s="108"/>
      <c r="C83" s="108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</row>
    <row r="84" spans="1:36" ht="16.5" x14ac:dyDescent="0.25">
      <c r="A84" s="137"/>
      <c r="B84" s="108"/>
      <c r="C84" s="249" t="s">
        <v>448</v>
      </c>
      <c r="D84" s="249"/>
      <c r="E84" s="249"/>
      <c r="F84" s="249"/>
      <c r="G84" s="249"/>
      <c r="H84" s="249"/>
      <c r="I84" s="249"/>
      <c r="J84" s="249"/>
      <c r="K84" s="249"/>
      <c r="L84" s="249"/>
      <c r="M84" s="249"/>
      <c r="N84" s="249"/>
      <c r="O84" s="249"/>
      <c r="P84" s="249"/>
      <c r="Q84" s="249"/>
      <c r="R84" s="249"/>
      <c r="S84" s="249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249"/>
      <c r="AH84" s="249"/>
      <c r="AI84" s="249"/>
      <c r="AJ84" s="90"/>
    </row>
    <row r="85" spans="1:36" ht="16.5" x14ac:dyDescent="0.25">
      <c r="A85" s="137"/>
      <c r="B85" s="108"/>
      <c r="C85" s="108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</row>
    <row r="86" spans="1:36" ht="16.5" x14ac:dyDescent="0.25">
      <c r="A86" s="137"/>
      <c r="B86" s="108"/>
      <c r="C86" s="108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</row>
    <row r="87" spans="1:36" ht="16.5" x14ac:dyDescent="0.25">
      <c r="A87" s="138"/>
      <c r="B87" s="108"/>
      <c r="C87" s="108"/>
      <c r="D87" s="90"/>
      <c r="E87" s="90"/>
      <c r="F87" s="90"/>
      <c r="G87" s="94" t="s">
        <v>382</v>
      </c>
      <c r="H87" s="94"/>
      <c r="I87" s="94"/>
      <c r="J87" s="94"/>
      <c r="K87" s="94"/>
      <c r="L87" s="94"/>
      <c r="M87" s="94"/>
      <c r="N87" s="94"/>
      <c r="O87" s="94" t="s">
        <v>1</v>
      </c>
      <c r="P87" s="94" t="str">
        <f>UPPER(IFERROR(VLOOKUP($Y$1,'Identitas Siswa'!A8:D67,4,FALSE),""))</f>
        <v>ABHY ARFA RIDHO HIBATULLAH</v>
      </c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  <c r="AI87" s="94"/>
      <c r="AJ87" s="90"/>
    </row>
    <row r="88" spans="1:36" ht="16.5" x14ac:dyDescent="0.25">
      <c r="A88" s="137"/>
      <c r="B88" s="108"/>
      <c r="C88" s="108"/>
      <c r="D88" s="90"/>
      <c r="E88" s="90"/>
      <c r="F88" s="90"/>
      <c r="G88" s="94" t="s">
        <v>384</v>
      </c>
      <c r="H88" s="94"/>
      <c r="I88" s="94"/>
      <c r="J88" s="94"/>
      <c r="K88" s="94"/>
      <c r="L88" s="94"/>
      <c r="M88" s="94"/>
      <c r="N88" s="94"/>
      <c r="O88" s="94" t="s">
        <v>1</v>
      </c>
      <c r="P88" s="94" t="str">
        <f>_xlfn.LET(_xlpm.nisn, IFERROR(VLOOKUP($Y$1, 'Identitas Siswa'!A8:D67, 2, FALSE), ""), _xlpm.nis, IFERROR(VLOOKUP($Y$1, 'Identitas Siswa'!A8:D67, 3, FALSE), ""), _xlfn.TEXTJOIN(" / ", TRUE, IF(_xlpm.nisn=0,"",_xlpm.nisn), IF(_xlpm.nis=0,"",_xlpm.nis)))</f>
        <v>3149274777 / 202101001</v>
      </c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0"/>
    </row>
    <row r="89" spans="1:36" ht="16.5" x14ac:dyDescent="0.25">
      <c r="A89" s="137"/>
      <c r="B89" s="108"/>
      <c r="C89" s="108"/>
      <c r="D89" s="90"/>
      <c r="E89" s="90"/>
      <c r="F89" s="90"/>
      <c r="G89" s="94" t="s">
        <v>449</v>
      </c>
      <c r="H89" s="94"/>
      <c r="I89" s="94"/>
      <c r="J89" s="94"/>
      <c r="K89" s="94"/>
      <c r="L89" s="94"/>
      <c r="M89" s="94"/>
      <c r="N89" s="94"/>
      <c r="O89" s="94" t="s">
        <v>1</v>
      </c>
      <c r="P89" s="94" t="str">
        <f>IFERROR(VLOOKUP($Y$1,'Identitas Siswa'!A8:W67,6,FALSE)&amp;", "&amp;VLOOKUP($Y$1,'Identitas Siswa'!A8:W67,7,FALSE),"")</f>
        <v>Sukabumi, 18 Juni 2014</v>
      </c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  <c r="AI89" s="94"/>
      <c r="AJ89" s="90"/>
    </row>
    <row r="90" spans="1:36" ht="16.5" x14ac:dyDescent="0.25">
      <c r="A90" s="137"/>
      <c r="B90" s="108"/>
      <c r="C90" s="108"/>
      <c r="D90" s="90"/>
      <c r="E90" s="90"/>
      <c r="F90" s="90"/>
      <c r="G90" s="94" t="s">
        <v>46</v>
      </c>
      <c r="H90" s="94"/>
      <c r="I90" s="94"/>
      <c r="J90" s="94"/>
      <c r="K90" s="94"/>
      <c r="L90" s="94"/>
      <c r="M90" s="94"/>
      <c r="N90" s="94"/>
      <c r="O90" s="94" t="s">
        <v>1</v>
      </c>
      <c r="P90" s="94" t="str">
        <f>IFERROR(T(VLOOKUP($Y$1,'Identitas Siswa'!A8:W67,8,FALSE)),"")</f>
        <v>Laki-Laki</v>
      </c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  <c r="AI90" s="94"/>
      <c r="AJ90" s="90"/>
    </row>
    <row r="91" spans="1:36" ht="16.5" x14ac:dyDescent="0.25">
      <c r="A91" s="139"/>
      <c r="B91" s="108"/>
      <c r="C91" s="108"/>
      <c r="D91" s="90"/>
      <c r="E91" s="90"/>
      <c r="F91" s="90"/>
      <c r="G91" s="94" t="s">
        <v>47</v>
      </c>
      <c r="H91" s="94"/>
      <c r="I91" s="94"/>
      <c r="J91" s="94"/>
      <c r="K91" s="94"/>
      <c r="L91" s="94"/>
      <c r="M91" s="94"/>
      <c r="N91" s="94"/>
      <c r="O91" s="94" t="s">
        <v>1</v>
      </c>
      <c r="P91" s="94" t="str">
        <f>IFERROR(T(VLOOKUP($Y$1,'Identitas Siswa'!A8:W67,9,FALSE)),"")</f>
        <v>Islam</v>
      </c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0"/>
    </row>
    <row r="92" spans="1:36" ht="16.5" x14ac:dyDescent="0.25">
      <c r="A92" s="139"/>
      <c r="B92" s="108"/>
      <c r="C92" s="108"/>
      <c r="D92" s="90"/>
      <c r="E92" s="90"/>
      <c r="F92" s="90"/>
      <c r="G92" s="94" t="s">
        <v>461</v>
      </c>
      <c r="H92" s="94"/>
      <c r="I92" s="94"/>
      <c r="J92" s="94"/>
      <c r="K92" s="94"/>
      <c r="L92" s="94"/>
      <c r="M92" s="94"/>
      <c r="N92" s="94"/>
      <c r="O92" s="94" t="s">
        <v>1</v>
      </c>
      <c r="P92" s="94" t="str">
        <f>IFERROR(T(VLOOKUP($Y$1,'Identitas Siswa'!A8:W67,10,FALSE)),"")</f>
        <v>-</v>
      </c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0"/>
    </row>
    <row r="93" spans="1:36" ht="16.5" x14ac:dyDescent="0.25">
      <c r="A93" s="137"/>
      <c r="B93" s="108"/>
      <c r="C93" s="108"/>
      <c r="D93" s="90"/>
      <c r="E93" s="90"/>
      <c r="F93" s="90"/>
      <c r="G93" s="94" t="s">
        <v>49</v>
      </c>
      <c r="H93" s="94"/>
      <c r="I93" s="94"/>
      <c r="J93" s="94"/>
      <c r="K93" s="94"/>
      <c r="L93" s="94"/>
      <c r="M93" s="94"/>
      <c r="N93" s="94"/>
      <c r="O93" s="94" t="s">
        <v>1</v>
      </c>
      <c r="P93" s="94" t="str">
        <f>IFERROR(T(VLOOKUP($Y$1,'Identitas Siswa'!A8:W67,11,FALSE)),"")</f>
        <v>KP. PASIR POGOR</v>
      </c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0"/>
    </row>
    <row r="94" spans="1:36" ht="16.5" x14ac:dyDescent="0.25">
      <c r="A94" s="137"/>
      <c r="B94" s="108"/>
      <c r="C94" s="108"/>
      <c r="D94" s="90"/>
      <c r="E94" s="90"/>
      <c r="F94" s="90"/>
      <c r="G94" s="94" t="s">
        <v>450</v>
      </c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0"/>
    </row>
    <row r="95" spans="1:36" ht="16.5" x14ac:dyDescent="0.25">
      <c r="A95" s="139"/>
      <c r="B95" s="108"/>
      <c r="C95" s="108"/>
      <c r="D95" s="90"/>
      <c r="E95" s="90"/>
      <c r="F95" s="90"/>
      <c r="G95" s="94" t="s">
        <v>57</v>
      </c>
      <c r="H95" s="94"/>
      <c r="I95" s="94"/>
      <c r="J95" s="94"/>
      <c r="K95" s="94"/>
      <c r="L95" s="94"/>
      <c r="M95" s="94"/>
      <c r="N95" s="94"/>
      <c r="O95" s="94" t="s">
        <v>1</v>
      </c>
      <c r="P95" s="94" t="str">
        <f>IFERROR(T(VLOOKUP($Y$1,'Identitas Siswa'!A8:W67,12,FALSE)),"")</f>
        <v>HADI PIRANDANI</v>
      </c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  <c r="AI95" s="94"/>
      <c r="AJ95" s="90"/>
    </row>
    <row r="96" spans="1:36" ht="16.5" x14ac:dyDescent="0.25">
      <c r="A96" s="139"/>
      <c r="B96" s="108"/>
      <c r="C96" s="108"/>
      <c r="D96" s="90"/>
      <c r="E96" s="90"/>
      <c r="F96" s="90"/>
      <c r="G96" s="94" t="s">
        <v>58</v>
      </c>
      <c r="H96" s="94"/>
      <c r="I96" s="94"/>
      <c r="J96" s="94"/>
      <c r="K96" s="94"/>
      <c r="L96" s="94"/>
      <c r="M96" s="94"/>
      <c r="N96" s="94"/>
      <c r="O96" s="94" t="s">
        <v>1</v>
      </c>
      <c r="P96" s="94" t="str">
        <f>IFERROR(T(VLOOKUP($Y$1,'Identitas Siswa'!A8:W67,13,FALSE)),"")</f>
        <v>MUTIARA</v>
      </c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  <c r="AI96" s="94"/>
      <c r="AJ96" s="90"/>
    </row>
    <row r="97" spans="1:36" ht="16.5" x14ac:dyDescent="0.25">
      <c r="A97" s="137"/>
      <c r="B97" s="108"/>
      <c r="C97" s="108"/>
      <c r="D97" s="90"/>
      <c r="E97" s="90"/>
      <c r="F97" s="90"/>
      <c r="G97" s="94" t="s">
        <v>451</v>
      </c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0"/>
    </row>
    <row r="98" spans="1:36" ht="16.5" x14ac:dyDescent="0.25">
      <c r="A98" s="137"/>
      <c r="B98" s="109"/>
      <c r="C98" s="108"/>
      <c r="D98" s="90"/>
      <c r="E98" s="90"/>
      <c r="F98" s="90"/>
      <c r="G98" s="94" t="s">
        <v>57</v>
      </c>
      <c r="H98" s="94"/>
      <c r="I98" s="94"/>
      <c r="J98" s="94"/>
      <c r="K98" s="94"/>
      <c r="L98" s="94"/>
      <c r="M98" s="94"/>
      <c r="N98" s="94"/>
      <c r="O98" s="94" t="s">
        <v>1</v>
      </c>
      <c r="P98" s="94" t="str">
        <f>IFERROR(T(VLOOKUP($Y$1,'Identitas Siswa'!A8:W67,14,FALSE)),"")</f>
        <v>KARYAWAN SWASTA</v>
      </c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94"/>
      <c r="AJ98" s="90"/>
    </row>
    <row r="99" spans="1:36" ht="16.5" x14ac:dyDescent="0.25">
      <c r="A99" s="139"/>
      <c r="B99" s="108"/>
      <c r="C99" s="108"/>
      <c r="D99" s="90"/>
      <c r="E99" s="90"/>
      <c r="F99" s="90"/>
      <c r="G99" s="94" t="s">
        <v>58</v>
      </c>
      <c r="H99" s="94"/>
      <c r="I99" s="94"/>
      <c r="J99" s="94"/>
      <c r="K99" s="94"/>
      <c r="L99" s="94"/>
      <c r="M99" s="94"/>
      <c r="N99" s="94"/>
      <c r="O99" s="94" t="s">
        <v>1</v>
      </c>
      <c r="P99" s="94" t="str">
        <f>IFERROR(T(VLOOKUP($Y$1,'Identitas Siswa'!A8:W67,15,FALSE)),"")</f>
        <v>Ibu Rumah Tangga</v>
      </c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0"/>
    </row>
    <row r="100" spans="1:36" ht="16.5" x14ac:dyDescent="0.25">
      <c r="A100" s="139"/>
      <c r="B100" s="108"/>
      <c r="C100" s="108"/>
      <c r="D100" s="90"/>
      <c r="E100" s="90"/>
      <c r="F100" s="90"/>
      <c r="G100" s="94" t="s">
        <v>452</v>
      </c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0"/>
    </row>
    <row r="101" spans="1:36" ht="16.5" x14ac:dyDescent="0.25">
      <c r="A101" s="139"/>
      <c r="B101" s="108"/>
      <c r="C101" s="108"/>
      <c r="D101" s="90"/>
      <c r="E101" s="90"/>
      <c r="F101" s="90"/>
      <c r="G101" s="94" t="s">
        <v>453</v>
      </c>
      <c r="H101" s="94"/>
      <c r="I101" s="94"/>
      <c r="J101" s="94"/>
      <c r="K101" s="94"/>
      <c r="L101" s="94"/>
      <c r="M101" s="94"/>
      <c r="N101" s="94"/>
      <c r="O101" s="94" t="s">
        <v>1</v>
      </c>
      <c r="P101" s="94" t="str">
        <f>IFERROR(T(VLOOKUP($Y$1,'Identitas Siswa'!A8:W67,16,FALSE)),"")</f>
        <v>KP. PASIR POGOR</v>
      </c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0"/>
    </row>
    <row r="102" spans="1:36" ht="16.5" x14ac:dyDescent="0.25">
      <c r="A102" s="139"/>
      <c r="B102" s="108"/>
      <c r="C102" s="108"/>
      <c r="D102" s="90"/>
      <c r="E102" s="90"/>
      <c r="F102" s="90"/>
      <c r="G102" s="94" t="s">
        <v>462</v>
      </c>
      <c r="H102" s="94"/>
      <c r="I102" s="94"/>
      <c r="J102" s="94"/>
      <c r="K102" s="94"/>
      <c r="L102" s="94"/>
      <c r="M102" s="94"/>
      <c r="N102" s="94"/>
      <c r="O102" s="94" t="s">
        <v>1</v>
      </c>
      <c r="P102" s="94" t="str">
        <f>IFERROR(T(VLOOKUP($Y$1,'Identitas Siswa'!A8:W67,17,FALSE)),"")</f>
        <v>PADAASIH</v>
      </c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0"/>
    </row>
    <row r="103" spans="1:36" ht="16.5" x14ac:dyDescent="0.25">
      <c r="A103" s="139"/>
      <c r="B103" s="108"/>
      <c r="C103" s="108"/>
      <c r="D103" s="90"/>
      <c r="E103" s="90"/>
      <c r="F103" s="90"/>
      <c r="G103" s="94" t="s">
        <v>61</v>
      </c>
      <c r="H103" s="94"/>
      <c r="I103" s="94"/>
      <c r="J103" s="94"/>
      <c r="K103" s="94"/>
      <c r="L103" s="94"/>
      <c r="M103" s="94"/>
      <c r="N103" s="94"/>
      <c r="O103" s="94" t="s">
        <v>1</v>
      </c>
      <c r="P103" s="94" t="str">
        <f>IFERROR(T(VLOOKUP($Y$1,'Identitas Siswa'!A8:W67,18,FALSE)),"")</f>
        <v>CICANTAYAN</v>
      </c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0"/>
    </row>
    <row r="104" spans="1:36" ht="16.5" x14ac:dyDescent="0.25">
      <c r="A104" s="137"/>
      <c r="B104" s="108"/>
      <c r="C104" s="108"/>
      <c r="D104" s="90"/>
      <c r="E104" s="90"/>
      <c r="F104" s="90"/>
      <c r="G104" s="94" t="s">
        <v>463</v>
      </c>
      <c r="H104" s="94"/>
      <c r="I104" s="94"/>
      <c r="J104" s="94"/>
      <c r="K104" s="94"/>
      <c r="L104" s="94"/>
      <c r="M104" s="94"/>
      <c r="N104" s="94"/>
      <c r="O104" s="94" t="s">
        <v>1</v>
      </c>
      <c r="P104" s="94" t="str">
        <f>IFERROR(T(VLOOKUP($Y$1,'Identitas Siswa'!A8:W67,19,FALSE)),"")</f>
        <v>SUKABUMI</v>
      </c>
      <c r="Q104" s="94"/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  <c r="AI104" s="94"/>
      <c r="AJ104" s="90"/>
    </row>
    <row r="105" spans="1:36" ht="16.5" x14ac:dyDescent="0.25">
      <c r="A105" s="137"/>
      <c r="B105" s="108"/>
      <c r="C105" s="108"/>
      <c r="D105" s="90"/>
      <c r="E105" s="90"/>
      <c r="F105" s="90"/>
      <c r="G105" s="94" t="s">
        <v>63</v>
      </c>
      <c r="H105" s="94"/>
      <c r="I105" s="94"/>
      <c r="J105" s="94"/>
      <c r="K105" s="94"/>
      <c r="L105" s="94"/>
      <c r="M105" s="94"/>
      <c r="N105" s="94"/>
      <c r="O105" s="94" t="s">
        <v>1</v>
      </c>
      <c r="P105" s="94" t="str">
        <f>IFERROR(T(VLOOKUP($Y$1,'Identitas Siswa'!A8:W67,20,FALSE)),"")</f>
        <v>Jawa Barat</v>
      </c>
      <c r="Q105" s="94"/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  <c r="AI105" s="94"/>
      <c r="AJ105" s="90"/>
    </row>
    <row r="106" spans="1:36" ht="16.5" x14ac:dyDescent="0.25">
      <c r="A106" s="139"/>
      <c r="B106" s="108"/>
      <c r="C106" s="108"/>
      <c r="D106" s="90"/>
      <c r="E106" s="90"/>
      <c r="F106" s="90"/>
      <c r="G106" s="94" t="s">
        <v>68</v>
      </c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0"/>
    </row>
    <row r="107" spans="1:36" ht="16.5" x14ac:dyDescent="0.25">
      <c r="A107" s="139"/>
      <c r="B107" s="108"/>
      <c r="C107" s="108"/>
      <c r="D107" s="90"/>
      <c r="E107" s="90"/>
      <c r="F107" s="90"/>
      <c r="G107" s="94" t="s">
        <v>64</v>
      </c>
      <c r="H107" s="94"/>
      <c r="I107" s="94"/>
      <c r="J107" s="94"/>
      <c r="K107" s="94"/>
      <c r="L107" s="94"/>
      <c r="M107" s="94"/>
      <c r="N107" s="94"/>
      <c r="O107" s="94" t="s">
        <v>1</v>
      </c>
      <c r="P107" s="94" t="str">
        <f>IFERROR(T(VLOOKUP($Y$1,'Identitas Siswa'!A8:W67,21,FALSE)),"")</f>
        <v>-</v>
      </c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0"/>
    </row>
    <row r="108" spans="1:36" ht="16.5" x14ac:dyDescent="0.25">
      <c r="A108" s="139"/>
      <c r="B108" s="108"/>
      <c r="C108" s="108"/>
      <c r="D108" s="90"/>
      <c r="E108" s="90"/>
      <c r="F108" s="90"/>
      <c r="G108" s="94" t="s">
        <v>65</v>
      </c>
      <c r="H108" s="94"/>
      <c r="I108" s="94"/>
      <c r="J108" s="94"/>
      <c r="K108" s="94"/>
      <c r="L108" s="94"/>
      <c r="M108" s="94"/>
      <c r="N108" s="94"/>
      <c r="O108" s="94" t="s">
        <v>1</v>
      </c>
      <c r="P108" s="94" t="str">
        <f>IFERROR(T(VLOOKUP($Y$1,'Identitas Siswa'!A8:W67,22,FALSE)),"")</f>
        <v>-</v>
      </c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0"/>
    </row>
    <row r="109" spans="1:36" ht="16.5" x14ac:dyDescent="0.25">
      <c r="A109" s="125"/>
      <c r="B109" s="108"/>
      <c r="C109" s="108"/>
      <c r="D109" s="90"/>
      <c r="E109" s="90"/>
      <c r="F109" s="90"/>
      <c r="G109" s="94" t="s">
        <v>66</v>
      </c>
      <c r="H109" s="94"/>
      <c r="I109" s="94"/>
      <c r="J109" s="94"/>
      <c r="K109" s="94"/>
      <c r="L109" s="94"/>
      <c r="M109" s="94"/>
      <c r="N109" s="94"/>
      <c r="O109" s="94" t="s">
        <v>1</v>
      </c>
      <c r="P109" s="94" t="str">
        <f>IFERROR(T(VLOOKUP($Y$1,'Identitas Siswa'!A8:W67,23,FALSE)),"")</f>
        <v>-</v>
      </c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0"/>
    </row>
    <row r="110" spans="1:36" ht="16.5" x14ac:dyDescent="0.25">
      <c r="A110" s="125"/>
      <c r="B110" s="108"/>
      <c r="C110" s="108"/>
      <c r="D110" s="90"/>
      <c r="E110" s="90"/>
      <c r="F110" s="90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0"/>
    </row>
    <row r="111" spans="1:36" ht="16.5" x14ac:dyDescent="0.25">
      <c r="A111" s="125"/>
      <c r="B111" s="108"/>
      <c r="C111" s="108"/>
      <c r="D111" s="90"/>
      <c r="E111" s="90"/>
      <c r="F111" s="90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0"/>
    </row>
    <row r="112" spans="1:36" ht="16.5" x14ac:dyDescent="0.25">
      <c r="A112" s="125"/>
      <c r="B112" s="108"/>
      <c r="C112" s="108"/>
      <c r="D112" s="90"/>
      <c r="E112" s="90"/>
      <c r="F112" s="90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0"/>
    </row>
    <row r="113" spans="1:36" ht="16.5" x14ac:dyDescent="0.25">
      <c r="A113" s="125"/>
      <c r="B113" s="109"/>
      <c r="C113" s="108"/>
      <c r="D113" s="90"/>
      <c r="E113" s="90"/>
      <c r="F113" s="90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  <c r="AI113" s="94"/>
      <c r="AJ113" s="90"/>
    </row>
    <row r="114" spans="1:36" ht="16.5" hidden="1" x14ac:dyDescent="0.25">
      <c r="A114" s="125"/>
      <c r="B114" s="109"/>
      <c r="C114" s="108"/>
      <c r="D114" s="90"/>
      <c r="E114" s="90"/>
      <c r="F114" s="90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AI114" s="94"/>
      <c r="AJ114" s="90"/>
    </row>
    <row r="115" spans="1:36" ht="16.5" x14ac:dyDescent="0.25">
      <c r="A115" s="125"/>
      <c r="B115" s="109"/>
      <c r="C115" s="108"/>
      <c r="D115" s="90"/>
      <c r="E115" s="90"/>
      <c r="F115" s="90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0"/>
    </row>
    <row r="116" spans="1:36" ht="16.5" x14ac:dyDescent="0.25">
      <c r="A116" s="125"/>
      <c r="B116" s="109"/>
      <c r="C116" s="108"/>
      <c r="D116" s="90"/>
      <c r="E116" s="90"/>
      <c r="F116" s="90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  <c r="AI116" s="94"/>
      <c r="AJ116" s="90"/>
    </row>
    <row r="117" spans="1:36" ht="16.5" x14ac:dyDescent="0.25">
      <c r="A117" s="125"/>
      <c r="B117" s="109"/>
      <c r="C117" s="108"/>
      <c r="D117" s="90"/>
      <c r="E117" s="90"/>
      <c r="F117" s="90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0"/>
    </row>
    <row r="118" spans="1:36" ht="16.5" x14ac:dyDescent="0.25">
      <c r="A118" s="125"/>
      <c r="B118" s="109"/>
      <c r="C118" s="124"/>
      <c r="D118" s="90"/>
      <c r="E118" s="90"/>
      <c r="F118" s="90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0"/>
    </row>
    <row r="119" spans="1:36" ht="16.5" x14ac:dyDescent="0.25">
      <c r="A119" s="125"/>
      <c r="B119" s="109"/>
      <c r="C119" s="108"/>
      <c r="D119" s="90"/>
      <c r="E119" s="90"/>
      <c r="F119" s="90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 t="str">
        <f>'Profil Sekolah'!D27&amp;", "&amp;'Profil Sekolah'!D28</f>
        <v>Sukabumi, 26 Juni 2026</v>
      </c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0"/>
    </row>
    <row r="120" spans="1:36" ht="15.75" x14ac:dyDescent="0.25">
      <c r="B120" s="90"/>
      <c r="C120" s="90"/>
      <c r="D120" s="90"/>
      <c r="E120" s="90"/>
      <c r="F120" s="90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 t="s">
        <v>455</v>
      </c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  <c r="AI120" s="94"/>
      <c r="AJ120" s="90"/>
    </row>
    <row r="121" spans="1:36" ht="15.75" x14ac:dyDescent="0.25">
      <c r="B121" s="90"/>
      <c r="C121" s="90"/>
      <c r="D121" s="90"/>
      <c r="E121" s="90"/>
      <c r="F121" s="90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0"/>
    </row>
    <row r="122" spans="1:36" ht="15.75" x14ac:dyDescent="0.25">
      <c r="B122" s="90"/>
      <c r="C122" s="90"/>
      <c r="D122" s="90"/>
      <c r="E122" s="90"/>
      <c r="F122" s="90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  <c r="AI122" s="94"/>
      <c r="AJ122" s="90"/>
    </row>
    <row r="123" spans="1:36" ht="15.75" x14ac:dyDescent="0.25">
      <c r="B123" s="90"/>
      <c r="C123" s="90"/>
      <c r="D123" s="90"/>
      <c r="E123" s="90"/>
      <c r="F123" s="90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  <c r="AI123" s="94"/>
      <c r="AJ123" s="90"/>
    </row>
    <row r="124" spans="1:36" ht="15.75" x14ac:dyDescent="0.25">
      <c r="B124" s="90"/>
      <c r="C124" s="90"/>
      <c r="D124" s="90"/>
      <c r="E124" s="90"/>
      <c r="F124" s="90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0"/>
    </row>
    <row r="125" spans="1:36" ht="15.75" x14ac:dyDescent="0.25">
      <c r="B125" s="90"/>
      <c r="C125" s="90"/>
      <c r="D125" s="90"/>
      <c r="E125" s="90"/>
      <c r="F125" s="90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178" t="str">
        <f>'Profil Sekolah'!D23</f>
        <v>Asep Agus Permana, S.Pd., SD.</v>
      </c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  <c r="AI125" s="94"/>
      <c r="AJ125" s="90"/>
    </row>
    <row r="126" spans="1:36" ht="15.75" x14ac:dyDescent="0.25">
      <c r="B126" s="90"/>
      <c r="C126" s="90"/>
      <c r="D126" s="90"/>
      <c r="E126" s="90"/>
      <c r="F126" s="90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 t="str">
        <f>"NIP "&amp;'Profil Sekolah'!D24</f>
        <v>NIP 196908272000121000</v>
      </c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  <c r="AI126" s="94"/>
      <c r="AJ126" s="90"/>
    </row>
    <row r="127" spans="1:36" s="15" customFormat="1" x14ac:dyDescent="0.25"/>
    <row r="128" spans="1:36" s="15" customFormat="1" x14ac:dyDescent="0.25"/>
  </sheetData>
  <sheetProtection sheet="1" objects="1" scenarios="1"/>
  <mergeCells count="21">
    <mergeCell ref="L1:X1"/>
    <mergeCell ref="Y1:Z1"/>
    <mergeCell ref="C24:AI24"/>
    <mergeCell ref="I25:AA25"/>
    <mergeCell ref="C26:AI26"/>
    <mergeCell ref="C54:AI54"/>
    <mergeCell ref="C15:AI15"/>
    <mergeCell ref="C16:AI16"/>
    <mergeCell ref="C17:AI17"/>
    <mergeCell ref="C18:AI18"/>
    <mergeCell ref="I27:AA27"/>
    <mergeCell ref="C36:AH36"/>
    <mergeCell ref="C37:AH37"/>
    <mergeCell ref="C52:AI52"/>
    <mergeCell ref="C53:AI53"/>
    <mergeCell ref="C55:AI55"/>
    <mergeCell ref="C84:AI84"/>
    <mergeCell ref="P59:Z59"/>
    <mergeCell ref="P60:Z60"/>
    <mergeCell ref="P58:Z58"/>
    <mergeCell ref="AA64:AF64"/>
  </mergeCells>
  <pageMargins left="0.25" right="0.25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7351" r:id="rId4" name="CommandButton1">
          <controlPr defaultSize="0" autoLine="0" r:id="rId5">
            <anchor moveWithCells="1">
              <from>
                <xdr:col>36</xdr:col>
                <xdr:colOff>57150</xdr:colOff>
                <xdr:row>0</xdr:row>
                <xdr:rowOff>66675</xdr:rowOff>
              </from>
              <to>
                <xdr:col>37</xdr:col>
                <xdr:colOff>552450</xdr:colOff>
                <xdr:row>0</xdr:row>
                <xdr:rowOff>390525</xdr:rowOff>
              </to>
            </anchor>
          </controlPr>
        </control>
      </mc:Choice>
      <mc:Fallback>
        <control shapeId="57351" r:id="rId4" name="CommandButton1"/>
      </mc:Fallback>
    </mc:AlternateContent>
    <mc:AlternateContent xmlns:mc="http://schemas.openxmlformats.org/markup-compatibility/2006">
      <mc:Choice Requires="x14">
        <control shapeId="57349" r:id="rId6" name="CommandButton2">
          <controlPr defaultSize="0" autoLine="0" r:id="rId7">
            <anchor moveWithCells="1">
              <from>
                <xdr:col>1</xdr:col>
                <xdr:colOff>66675</xdr:colOff>
                <xdr:row>0</xdr:row>
                <xdr:rowOff>38100</xdr:rowOff>
              </from>
              <to>
                <xdr:col>10</xdr:col>
                <xdr:colOff>66675</xdr:colOff>
                <xdr:row>0</xdr:row>
                <xdr:rowOff>371475</xdr:rowOff>
              </to>
            </anchor>
          </controlPr>
        </control>
      </mc:Choice>
      <mc:Fallback>
        <control shapeId="57349" r:id="rId6" name="CommandButton2"/>
      </mc:Fallback>
    </mc:AlternateContent>
    <mc:AlternateContent xmlns:mc="http://schemas.openxmlformats.org/markup-compatibility/2006">
      <mc:Choice Requires="x14">
        <control shapeId="57350" r:id="rId8" name="SpinButton1">
          <controlPr defaultSize="0" autoLine="0" r:id="rId9">
            <anchor moveWithCells="1">
              <from>
                <xdr:col>26</xdr:col>
                <xdr:colOff>57150</xdr:colOff>
                <xdr:row>0</xdr:row>
                <xdr:rowOff>38100</xdr:rowOff>
              </from>
              <to>
                <xdr:col>35</xdr:col>
                <xdr:colOff>57150</xdr:colOff>
                <xdr:row>0</xdr:row>
                <xdr:rowOff>361950</xdr:rowOff>
              </to>
            </anchor>
          </controlPr>
        </control>
      </mc:Choice>
      <mc:Fallback>
        <control shapeId="57350" r:id="rId8" name="Spin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0CCBB-06DC-4427-BCD6-C33BF98C9380}">
  <sheetPr codeName="Sheet26">
    <pageSetUpPr fitToPage="1"/>
  </sheetPr>
  <dimension ref="A1:XFC85"/>
  <sheetViews>
    <sheetView view="pageBreakPreview" zoomScaleNormal="85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5" sqref="C5:R5"/>
    </sheetView>
  </sheetViews>
  <sheetFormatPr defaultColWidth="0" defaultRowHeight="15" zeroHeight="1" x14ac:dyDescent="0.25"/>
  <cols>
    <col min="1" max="1" width="3.28515625" customWidth="1"/>
    <col min="2" max="2" width="25.42578125" customWidth="1"/>
    <col min="3" max="7" width="9.140625" customWidth="1"/>
    <col min="8" max="9" width="9.140625" hidden="1" customWidth="1"/>
    <col min="10" max="10" width="9.140625" customWidth="1"/>
    <col min="11" max="11" width="9.140625" hidden="1" customWidth="1"/>
    <col min="12" max="14" width="9.140625" customWidth="1"/>
    <col min="15" max="18" width="9.140625" hidden="1" customWidth="1"/>
    <col min="19" max="19" width="9.140625" style="85" customWidth="1"/>
    <col min="20" max="20" width="9.5703125" style="85" bestFit="1" customWidth="1"/>
    <col min="21" max="21" width="9.140625" style="85" customWidth="1"/>
    <col min="22" max="22" width="1.5703125" customWidth="1"/>
    <col min="27" max="16383" width="9.140625" hidden="1"/>
    <col min="16384" max="16384" width="2.85546875" customWidth="1"/>
  </cols>
  <sheetData>
    <row r="1" spans="1:26" ht="70.5" customHeight="1" x14ac:dyDescent="0.25">
      <c r="Z1" t="b">
        <v>0</v>
      </c>
    </row>
    <row r="2" spans="1:26" ht="38.25" customHeight="1" x14ac:dyDescent="0.25">
      <c r="A2" s="262" t="s">
        <v>434</v>
      </c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90"/>
      <c r="Z2" t="b">
        <v>0</v>
      </c>
    </row>
    <row r="3" spans="1:26" x14ac:dyDescent="0.25">
      <c r="A3" s="90"/>
      <c r="B3" s="123" t="s">
        <v>386</v>
      </c>
      <c r="C3" s="123" t="str">
        <f>UPPER(": "&amp;'Profil Sekolah'!D6)</f>
        <v>: SD NEGERI CICOHAG</v>
      </c>
      <c r="D3" s="90"/>
      <c r="E3" s="90"/>
      <c r="F3" s="90"/>
      <c r="G3" s="90"/>
      <c r="H3" s="90"/>
      <c r="I3" s="90"/>
      <c r="J3" s="90"/>
      <c r="K3" s="90"/>
      <c r="L3" s="157" t="s">
        <v>387</v>
      </c>
      <c r="M3" s="90"/>
      <c r="N3" s="263" t="str">
        <f>UPPER(": "&amp;'Profil Sekolah'!D19)</f>
        <v>: II</v>
      </c>
      <c r="O3" s="263"/>
      <c r="P3" s="263"/>
      <c r="Q3" s="263"/>
      <c r="R3" s="263"/>
      <c r="S3" s="263"/>
      <c r="T3" s="158"/>
      <c r="U3" s="158"/>
      <c r="V3" s="90"/>
      <c r="Z3" t="b">
        <v>1</v>
      </c>
    </row>
    <row r="4" spans="1:26" x14ac:dyDescent="0.25">
      <c r="A4" s="90"/>
      <c r="B4" s="123" t="s">
        <v>383</v>
      </c>
      <c r="C4" s="123" t="str">
        <f>UPPER(": "&amp;'Profil Sekolah'!D20)</f>
        <v>: V</v>
      </c>
      <c r="D4" s="90"/>
      <c r="E4" s="90"/>
      <c r="F4" s="90"/>
      <c r="G4" s="90"/>
      <c r="H4" s="90"/>
      <c r="I4" s="90"/>
      <c r="J4" s="90"/>
      <c r="K4" s="90"/>
      <c r="L4" s="157" t="s">
        <v>389</v>
      </c>
      <c r="M4" s="90"/>
      <c r="N4" s="264" t="str">
        <f>UPPER(": "&amp;'Profil Sekolah'!D18)</f>
        <v>: 2025/2026</v>
      </c>
      <c r="O4" s="264"/>
      <c r="P4" s="264"/>
      <c r="Q4" s="264"/>
      <c r="R4" s="264"/>
      <c r="S4" s="264"/>
      <c r="T4" s="158"/>
      <c r="U4" s="158"/>
      <c r="V4" s="90"/>
      <c r="Z4" t="b">
        <v>0</v>
      </c>
    </row>
    <row r="5" spans="1:26" x14ac:dyDescent="0.25">
      <c r="A5" s="266" t="s">
        <v>53</v>
      </c>
      <c r="B5" s="266" t="s">
        <v>358</v>
      </c>
      <c r="C5" s="267" t="s">
        <v>433</v>
      </c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5" t="s">
        <v>429</v>
      </c>
      <c r="T5" s="265" t="s">
        <v>430</v>
      </c>
      <c r="U5" s="265" t="s">
        <v>431</v>
      </c>
      <c r="V5" s="90"/>
      <c r="Z5" t="b">
        <v>1</v>
      </c>
    </row>
    <row r="6" spans="1:26" ht="15" customHeight="1" x14ac:dyDescent="0.25">
      <c r="A6" s="266"/>
      <c r="B6" s="266"/>
      <c r="C6" s="260" t="str">
        <f>IF('MAPEL &amp; BOBOT'!$C$5=0,"",'MAPEL &amp; BOBOT'!$C$5)</f>
        <v>Pendidikan Agama dan Budi Pekerti</v>
      </c>
      <c r="D6" s="260" t="str">
        <f>IF('MAPEL &amp; BOBOT'!$C$6=0,"",'MAPEL &amp; BOBOT'!$C$6)</f>
        <v>Pendidikan Pancasila</v>
      </c>
      <c r="E6" s="260" t="str">
        <f>IF('MAPEL &amp; BOBOT'!$C$7=0,"",'MAPEL &amp; BOBOT'!$C$7)</f>
        <v>Bahasa Indonesia</v>
      </c>
      <c r="F6" s="260" t="str">
        <f>IF('MAPEL &amp; BOBOT'!$C$8=0,"",'MAPEL &amp; BOBOT'!$C$8)</f>
        <v>Matematika</v>
      </c>
      <c r="G6" s="260" t="str">
        <f>IF('MAPEL &amp; BOBOT'!$C$9=0,"",'MAPEL &amp; BOBOT'!$C$9)</f>
        <v>Ilmu Pengetahuan Alam dan Sosial</v>
      </c>
      <c r="H6" s="268" t="s">
        <v>83</v>
      </c>
      <c r="I6" s="268"/>
      <c r="J6" s="268"/>
      <c r="K6" s="268"/>
      <c r="L6" s="260" t="str">
        <f>IF('MAPEL &amp; BOBOT'!$C$15=0,"",'MAPEL &amp; BOBOT'!$C$15)</f>
        <v>Pendidikan Jasmani, Olahraga, dan Kesehatan</v>
      </c>
      <c r="M6" s="260" t="str">
        <f>IF('MAPEL &amp; BOBOT'!$C$16=0,"",'MAPEL &amp; BOBOT'!$C$16)</f>
        <v>Bahasa inggris</v>
      </c>
      <c r="N6" s="261" t="s">
        <v>87</v>
      </c>
      <c r="O6" s="261"/>
      <c r="P6" s="261"/>
      <c r="Q6" s="261"/>
      <c r="R6" s="261"/>
      <c r="S6" s="265"/>
      <c r="T6" s="265"/>
      <c r="U6" s="265"/>
      <c r="V6" s="90"/>
      <c r="Z6" t="b">
        <v>0</v>
      </c>
    </row>
    <row r="7" spans="1:26" ht="45.75" customHeight="1" x14ac:dyDescent="0.25">
      <c r="A7" s="266"/>
      <c r="B7" s="266"/>
      <c r="C7" s="260"/>
      <c r="D7" s="260"/>
      <c r="E7" s="260"/>
      <c r="F7" s="260"/>
      <c r="G7" s="260"/>
      <c r="H7" s="106" t="str">
        <f>IF('MAPEL &amp; BOBOT'!$D$11=0,"",'MAPEL &amp; BOBOT'!$D$11)</f>
        <v>Seni Musik</v>
      </c>
      <c r="I7" s="106" t="str">
        <f>IF('MAPEL &amp; BOBOT'!$D$12=0,"",'MAPEL &amp; BOBOT'!$D$12)</f>
        <v>Seni Tari</v>
      </c>
      <c r="J7" s="106" t="str">
        <f>IF('MAPEL &amp; BOBOT'!$D$13=0,"",'MAPEL &amp; BOBOT'!$D$13)</f>
        <v>Seni Rupa</v>
      </c>
      <c r="K7" s="106" t="str">
        <f>IF('MAPEL &amp; BOBOT'!$D$13=0,"",'MAPEL &amp; BOBOT'!$D$14)</f>
        <v>Seni Teater</v>
      </c>
      <c r="L7" s="260"/>
      <c r="M7" s="260"/>
      <c r="N7" s="106" t="str">
        <f>IF('MAPEL &amp; BOBOT'!$D$18=0,"",'MAPEL &amp; BOBOT'!$D$18)</f>
        <v>Bahasa Sunda</v>
      </c>
      <c r="O7" s="106" t="str">
        <f>IF('MAPEL &amp; BOBOT'!$D$19=0,"",'MAPEL &amp; BOBOT'!$D$19)</f>
        <v>Bahasa Jepang</v>
      </c>
      <c r="P7" s="106" t="str">
        <f>IF('MAPEL &amp; BOBOT'!$D$20=0,"",'MAPEL &amp; BOBOT'!$D$20)</f>
        <v>Bahasa Jerman</v>
      </c>
      <c r="Q7" s="106" t="str">
        <f>IF('MAPEL &amp; BOBOT'!$D$21=0,"",'MAPEL &amp; BOBOT'!$D$21)</f>
        <v>Bahasa Mandarin</v>
      </c>
      <c r="R7" s="106" t="str">
        <f>IF('MAPEL &amp; BOBOT'!$D$22=0,"",'MAPEL &amp; BOBOT'!$D$22)</f>
        <v>Bahasa Korea</v>
      </c>
      <c r="S7" s="265"/>
      <c r="T7" s="265"/>
      <c r="U7" s="265"/>
      <c r="V7" s="90"/>
      <c r="Z7" t="b">
        <v>0</v>
      </c>
    </row>
    <row r="8" spans="1:26" x14ac:dyDescent="0.25">
      <c r="A8" s="266"/>
      <c r="B8" s="266"/>
      <c r="C8" s="266" t="s">
        <v>432</v>
      </c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5"/>
      <c r="T8" s="265"/>
      <c r="U8" s="265"/>
      <c r="V8" s="90"/>
      <c r="Z8" t="b">
        <v>0</v>
      </c>
    </row>
    <row r="9" spans="1:26" x14ac:dyDescent="0.25">
      <c r="A9" s="159">
        <f>'Identitas Siswa'!A8</f>
        <v>1</v>
      </c>
      <c r="B9" s="159" t="str">
        <f>IF('Identitas Siswa'!D8=0,"",'Identitas Siswa'!D8)</f>
        <v>Abhy Arfa Ridho Hibatullah</v>
      </c>
      <c r="C9" s="160">
        <f>IFERROR(VLOOKUP(A9,AGAMA!$A$9:$AN$68,40,FALSE),"")</f>
        <v>89</v>
      </c>
      <c r="D9" s="160">
        <f>IFERROR(VLOOKUP(A9,PANCASILA!$A$9:$AN$68,40,FALSE),"")</f>
        <v>90</v>
      </c>
      <c r="E9" s="160">
        <f>IFERROR(VLOOKUP(A9,INDONESIA!$A$9:$AN$68,40,FALSE),"")</f>
        <v>90</v>
      </c>
      <c r="F9" s="160">
        <f>IFERROR(VLOOKUP(A9,MATEMATIKA!$A$9:$AN$68,40,FALSE),"")</f>
        <v>90</v>
      </c>
      <c r="G9" s="160">
        <f>IFERROR(VLOOKUP(A9,IPAS!$A$9:$AN$68,40,FALSE),"")</f>
        <v>90</v>
      </c>
      <c r="H9" s="160">
        <f ca="1">IF($H$7="","",IFERROR(VLOOKUP(A9,INDIRECT(UPPER(SUBSTITUTE($H$7,"Seni ",""))&amp;"!$A$9:$AN$68"),40,FALSE),""))</f>
        <v>90</v>
      </c>
      <c r="I9" s="160">
        <f ca="1">IF($I$7="","",IFERROR(VLOOKUP(A9,INDIRECT(UPPER(SUBSTITUTE($I$7,"Seni ",""))&amp;"!$A$9:$AN$68"),40,FALSE),""))</f>
        <v>90</v>
      </c>
      <c r="J9" s="160">
        <f ca="1">IF($K$7="","",IFERROR(VLOOKUP(A9,INDIRECT(UPPER(SUBSTITUTE($K$7,"Seni ",""))&amp;"!$A$9:$AN$68"),40,FALSE),""))</f>
        <v>90</v>
      </c>
      <c r="K9" s="160">
        <f ca="1">IF($K$7="","",IFERROR(VLOOKUP(A9,INDIRECT(UPPER(SUBSTITUTE($K$7,"Seni ",""))&amp;"!$A$9:$AN$68"),40,FALSE),""))</f>
        <v>90</v>
      </c>
      <c r="L9" s="160">
        <f>IFERROR(VLOOKUP(A9,PJOK!$A$9:$AN$68,40,FALSE),"")</f>
        <v>90</v>
      </c>
      <c r="M9" s="160">
        <f>IFERROR(VLOOKUP(A9,INGGRIS!$A$9:$AN$68,40,FALSE),"")</f>
        <v>90</v>
      </c>
      <c r="N9" s="160">
        <f>IFERROR(VLOOKUP(A9,MULOK1!$A$9:$AN$68,40,FALSE),"")</f>
        <v>90</v>
      </c>
      <c r="O9" s="160">
        <f>IFERROR(VLOOKUP(A9,MULOK2!$A$9:$AN$68,40,FALSE),"")</f>
        <v>90</v>
      </c>
      <c r="P9" s="160">
        <f>IFERROR(VLOOKUP(A9,MULOK3!$A$9:$AN$68,40,FALSE),"")</f>
        <v>90</v>
      </c>
      <c r="Q9" s="160">
        <f>IFERROR(VLOOKUP(A9,MULOK4!$A$9:$AN$68,40,FALSE),"")</f>
        <v>90</v>
      </c>
      <c r="R9" s="160">
        <f>IFERROR(VLOOKUP(A9,MULOK5!$A$9:$AN$68,40,FALSE),"")</f>
        <v>90</v>
      </c>
      <c r="S9" s="161">
        <v>809</v>
      </c>
      <c r="T9" s="162">
        <v>89.888888888888886</v>
      </c>
      <c r="U9" s="29">
        <f>IF(S9="","",RANK(S9,$S$9:$S$68,0))</f>
        <v>1</v>
      </c>
      <c r="V9" s="90"/>
      <c r="Z9" t="b">
        <v>0</v>
      </c>
    </row>
    <row r="10" spans="1:26" x14ac:dyDescent="0.25">
      <c r="A10" s="159">
        <f>'Identitas Siswa'!A9</f>
        <v>2</v>
      </c>
      <c r="B10" s="159" t="str">
        <f>IF('Identitas Siswa'!D9=0,"",'Identitas Siswa'!D9)</f>
        <v>aku saja</v>
      </c>
      <c r="C10" s="160">
        <f>IFERROR(VLOOKUP(A10,AGAMA!$A$9:$AN$68,40,FALSE),"")</f>
        <v>80</v>
      </c>
      <c r="D10" s="160">
        <f>IFERROR(VLOOKUP(A10,PANCASILA!$A$9:$AN$68,40,FALSE),"")</f>
        <v>80</v>
      </c>
      <c r="E10" s="160">
        <f>IFERROR(VLOOKUP(A10,INDONESIA!$A$9:$AN$68,40,FALSE),"")</f>
        <v>80</v>
      </c>
      <c r="F10" s="160">
        <f>IFERROR(VLOOKUP(A10,MATEMATIKA!$A$9:$AN$68,40,FALSE),"")</f>
        <v>80</v>
      </c>
      <c r="G10" s="160">
        <f>IFERROR(VLOOKUP(A10,IPAS!$A$9:$AN$68,40,FALSE),"")</f>
        <v>80</v>
      </c>
      <c r="H10" s="160">
        <f t="shared" ref="H10:H68" ca="1" si="0">IF($H$7="","",IFERROR(VLOOKUP(A10,INDIRECT(UPPER(SUBSTITUTE($H$7,"Seni ",""))&amp;"!$A$9:$AN$68"),40,FALSE),""))</f>
        <v>80</v>
      </c>
      <c r="I10" s="160">
        <f t="shared" ref="I10:I68" ca="1" si="1">IF($I$7="","",IFERROR(VLOOKUP(A10,INDIRECT(UPPER(SUBSTITUTE($I$7,"Seni ",""))&amp;"!$A$9:$AN$68"),40,FALSE),""))</f>
        <v>80</v>
      </c>
      <c r="J10" s="160">
        <f t="shared" ref="J10:J68" ca="1" si="2">IF($K$7="","",IFERROR(VLOOKUP(A10,INDIRECT(UPPER(SUBSTITUTE($K$7,"Seni ",""))&amp;"!$A$9:$AN$68"),40,FALSE),""))</f>
        <v>80</v>
      </c>
      <c r="K10" s="160">
        <f t="shared" ref="K10:K68" ca="1" si="3">IF($K$7="","",IFERROR(VLOOKUP(A10,INDIRECT(UPPER(SUBSTITUTE($K$7,"Seni ",""))&amp;"!$A$9:$AN$68"),40,FALSE),""))</f>
        <v>80</v>
      </c>
      <c r="L10" s="160">
        <f>IFERROR(VLOOKUP(A10,PJOK!$A$9:$AN$68,40,FALSE),"")</f>
        <v>80</v>
      </c>
      <c r="M10" s="160">
        <f>IFERROR(VLOOKUP(A10,INGGRIS!$A$9:$AN$68,40,FALSE),"")</f>
        <v>80</v>
      </c>
      <c r="N10" s="160">
        <f>IFERROR(VLOOKUP(A10,MULOK1!$A$9:$AN$68,40,FALSE),"")</f>
        <v>80</v>
      </c>
      <c r="O10" s="160">
        <f>IFERROR(VLOOKUP(A10,MULOK2!$A$9:$AN$68,40,FALSE),"")</f>
        <v>80</v>
      </c>
      <c r="P10" s="160">
        <f>IFERROR(VLOOKUP(A10,MULOK3!$A$9:$AN$68,40,FALSE),"")</f>
        <v>80</v>
      </c>
      <c r="Q10" s="160">
        <f>IFERROR(VLOOKUP(A10,MULOK4!$A$9:$AN$68,40,FALSE),"")</f>
        <v>80</v>
      </c>
      <c r="R10" s="160">
        <f>IFERROR(VLOOKUP(A10,MULOK5!$A$9:$AN$68,40,FALSE),"")</f>
        <v>80</v>
      </c>
      <c r="S10" s="161">
        <v>720</v>
      </c>
      <c r="T10" s="162">
        <v>80</v>
      </c>
      <c r="U10" s="29">
        <f t="shared" ref="U10:U31" si="4">IF(S10="","",RANK(S10,$S$9:$S$68,0))</f>
        <v>2</v>
      </c>
      <c r="V10" s="90"/>
    </row>
    <row r="11" spans="1:26" x14ac:dyDescent="0.25">
      <c r="A11" s="159">
        <f>'Identitas Siswa'!A10</f>
        <v>3</v>
      </c>
      <c r="B11" s="159" t="str">
        <f>IF('Identitas Siswa'!D10=0,"",'Identitas Siswa'!D10)</f>
        <v/>
      </c>
      <c r="C11" s="160" t="str">
        <f>IFERROR(VLOOKUP(A11,AGAMA!$A$9:$AN$68,40,FALSE),"")</f>
        <v/>
      </c>
      <c r="D11" s="160" t="str">
        <f>IFERROR(VLOOKUP(A11,PANCASILA!$A$9:$AN$68,40,FALSE),"")</f>
        <v/>
      </c>
      <c r="E11" s="160" t="str">
        <f>IFERROR(VLOOKUP(A11,INDONESIA!$A$9:$AN$68,40,FALSE),"")</f>
        <v/>
      </c>
      <c r="F11" s="160" t="str">
        <f>IFERROR(VLOOKUP(A11,MATEMATIKA!$A$9:$AN$68,40,FALSE),"")</f>
        <v/>
      </c>
      <c r="G11" s="160" t="str">
        <f>IFERROR(VLOOKUP(A11,IPAS!$A$9:$AN$68,40,FALSE),"")</f>
        <v/>
      </c>
      <c r="H11" s="160" t="str">
        <f t="shared" ca="1" si="0"/>
        <v/>
      </c>
      <c r="I11" s="160" t="str">
        <f t="shared" ca="1" si="1"/>
        <v/>
      </c>
      <c r="J11" s="160" t="str">
        <f t="shared" ca="1" si="2"/>
        <v/>
      </c>
      <c r="K11" s="160" t="str">
        <f t="shared" ca="1" si="3"/>
        <v/>
      </c>
      <c r="L11" s="160" t="str">
        <f>IFERROR(VLOOKUP(A11,PJOK!$A$9:$AN$68,40,FALSE),"")</f>
        <v/>
      </c>
      <c r="M11" s="160" t="str">
        <f>IFERROR(VLOOKUP(A11,INGGRIS!$A$9:$AN$68,40,FALSE),"")</f>
        <v/>
      </c>
      <c r="N11" s="160" t="str">
        <f>IFERROR(VLOOKUP(A11,MULOK1!$A$9:$AN$68,40,FALSE),"")</f>
        <v/>
      </c>
      <c r="O11" s="160" t="str">
        <f>IFERROR(VLOOKUP(A11,MULOK2!$A$9:$AN$68,40,FALSE),"")</f>
        <v/>
      </c>
      <c r="P11" s="160" t="str">
        <f>IFERROR(VLOOKUP(A11,MULOK3!$A$9:$AN$68,40,FALSE),"")</f>
        <v/>
      </c>
      <c r="Q11" s="160" t="str">
        <f>IFERROR(VLOOKUP(A11,MULOK4!$A$9:$AN$68,40,FALSE),"")</f>
        <v/>
      </c>
      <c r="R11" s="160" t="str">
        <f>IFERROR(VLOOKUP(A11,MULOK5!$A$9:$AN$68,40,FALSE),"")</f>
        <v/>
      </c>
      <c r="S11" s="161"/>
      <c r="T11" s="162"/>
      <c r="U11" s="29" t="str">
        <f t="shared" si="4"/>
        <v/>
      </c>
      <c r="V11" s="90"/>
    </row>
    <row r="12" spans="1:26" hidden="1" x14ac:dyDescent="0.25">
      <c r="A12" s="159">
        <f>'Identitas Siswa'!A11</f>
        <v>4</v>
      </c>
      <c r="B12" s="159" t="str">
        <f>IF('Identitas Siswa'!D11=0,"",'Identitas Siswa'!D11)</f>
        <v/>
      </c>
      <c r="C12" s="160" t="str">
        <f>IFERROR(VLOOKUP(A12,AGAMA!$A$9:$AN$68,40,FALSE),"")</f>
        <v/>
      </c>
      <c r="D12" s="160" t="str">
        <f>IFERROR(VLOOKUP(A12,PANCASILA!$A$9:$AN$68,40,FALSE),"")</f>
        <v/>
      </c>
      <c r="E12" s="160" t="str">
        <f>IFERROR(VLOOKUP(A12,INDONESIA!$A$9:$AN$68,40,FALSE),"")</f>
        <v/>
      </c>
      <c r="F12" s="160" t="str">
        <f>IFERROR(VLOOKUP(A12,MATEMATIKA!$A$9:$AN$68,40,FALSE),"")</f>
        <v/>
      </c>
      <c r="G12" s="160" t="str">
        <f>IFERROR(VLOOKUP(A12,IPAS!$A$9:$AN$68,40,FALSE),"")</f>
        <v/>
      </c>
      <c r="H12" s="160" t="str">
        <f t="shared" ca="1" si="0"/>
        <v/>
      </c>
      <c r="I12" s="160" t="str">
        <f t="shared" ca="1" si="1"/>
        <v/>
      </c>
      <c r="J12" s="160" t="str">
        <f t="shared" ca="1" si="2"/>
        <v/>
      </c>
      <c r="K12" s="160" t="str">
        <f t="shared" ca="1" si="3"/>
        <v/>
      </c>
      <c r="L12" s="160" t="str">
        <f>IFERROR(VLOOKUP(A12,PJOK!$A$9:$AN$68,40,FALSE),"")</f>
        <v/>
      </c>
      <c r="M12" s="160" t="str">
        <f>IFERROR(VLOOKUP(A12,INGGRIS!$A$9:$AN$68,40,FALSE),"")</f>
        <v/>
      </c>
      <c r="N12" s="160" t="str">
        <f>IFERROR(VLOOKUP(A12,MULOK1!$A$9:$AN$68,40,FALSE),"")</f>
        <v/>
      </c>
      <c r="O12" s="160" t="str">
        <f>IFERROR(VLOOKUP(A12,MULOK2!$A$9:$AN$68,40,FALSE),"")</f>
        <v/>
      </c>
      <c r="P12" s="160" t="str">
        <f>IFERROR(VLOOKUP(A12,MULOK3!$A$9:$AN$68,40,FALSE),"")</f>
        <v/>
      </c>
      <c r="Q12" s="160" t="str">
        <f>IFERROR(VLOOKUP(A12,MULOK4!$A$9:$AN$68,40,FALSE),"")</f>
        <v/>
      </c>
      <c r="R12" s="160" t="str">
        <f>IFERROR(VLOOKUP(A12,MULOK5!$A$9:$AN$68,40,FALSE),"")</f>
        <v/>
      </c>
      <c r="S12" s="161"/>
      <c r="T12" s="162"/>
      <c r="U12" s="29" t="str">
        <f t="shared" si="4"/>
        <v/>
      </c>
      <c r="V12" s="90"/>
    </row>
    <row r="13" spans="1:26" hidden="1" x14ac:dyDescent="0.25">
      <c r="A13" s="159">
        <f>'Identitas Siswa'!A12</f>
        <v>5</v>
      </c>
      <c r="B13" s="159" t="str">
        <f>IF('Identitas Siswa'!D12=0,"",'Identitas Siswa'!D12)</f>
        <v/>
      </c>
      <c r="C13" s="160" t="str">
        <f>IFERROR(VLOOKUP(A13,AGAMA!$A$9:$AN$68,40,FALSE),"")</f>
        <v/>
      </c>
      <c r="D13" s="160" t="str">
        <f>IFERROR(VLOOKUP(A13,PANCASILA!$A$9:$AN$68,40,FALSE),"")</f>
        <v/>
      </c>
      <c r="E13" s="160" t="str">
        <f>IFERROR(VLOOKUP(A13,INDONESIA!$A$9:$AN$68,40,FALSE),"")</f>
        <v/>
      </c>
      <c r="F13" s="160" t="str">
        <f>IFERROR(VLOOKUP(A13,MATEMATIKA!$A$9:$AN$68,40,FALSE),"")</f>
        <v/>
      </c>
      <c r="G13" s="160" t="str">
        <f>IFERROR(VLOOKUP(A13,IPAS!$A$9:$AN$68,40,FALSE),"")</f>
        <v/>
      </c>
      <c r="H13" s="160" t="str">
        <f t="shared" ca="1" si="0"/>
        <v/>
      </c>
      <c r="I13" s="160" t="str">
        <f t="shared" ca="1" si="1"/>
        <v/>
      </c>
      <c r="J13" s="160" t="str">
        <f t="shared" ca="1" si="2"/>
        <v/>
      </c>
      <c r="K13" s="160" t="str">
        <f t="shared" ca="1" si="3"/>
        <v/>
      </c>
      <c r="L13" s="160" t="str">
        <f>IFERROR(VLOOKUP(A13,PJOK!$A$9:$AN$68,40,FALSE),"")</f>
        <v/>
      </c>
      <c r="M13" s="160" t="str">
        <f>IFERROR(VLOOKUP(A13,INGGRIS!$A$9:$AN$68,40,FALSE),"")</f>
        <v/>
      </c>
      <c r="N13" s="160" t="str">
        <f>IFERROR(VLOOKUP(A13,MULOK1!$A$9:$AN$68,40,FALSE),"")</f>
        <v/>
      </c>
      <c r="O13" s="160" t="str">
        <f>IFERROR(VLOOKUP(A13,MULOK2!$A$9:$AN$68,40,FALSE),"")</f>
        <v/>
      </c>
      <c r="P13" s="160" t="str">
        <f>IFERROR(VLOOKUP(A13,MULOK3!$A$9:$AN$68,40,FALSE),"")</f>
        <v/>
      </c>
      <c r="Q13" s="160" t="str">
        <f>IFERROR(VLOOKUP(A13,MULOK4!$A$9:$AN$68,40,FALSE),"")</f>
        <v/>
      </c>
      <c r="R13" s="160" t="str">
        <f>IFERROR(VLOOKUP(A13,MULOK5!$A$9:$AN$68,40,FALSE),"")</f>
        <v/>
      </c>
      <c r="S13" s="161"/>
      <c r="T13" s="162"/>
      <c r="U13" s="29" t="str">
        <f t="shared" si="4"/>
        <v/>
      </c>
      <c r="V13" s="90"/>
    </row>
    <row r="14" spans="1:26" hidden="1" x14ac:dyDescent="0.25">
      <c r="A14" s="159">
        <f>'Identitas Siswa'!A13</f>
        <v>6</v>
      </c>
      <c r="B14" s="159" t="str">
        <f>IF('Identitas Siswa'!D13=0,"",'Identitas Siswa'!D13)</f>
        <v/>
      </c>
      <c r="C14" s="160" t="str">
        <f>IFERROR(VLOOKUP(A14,AGAMA!$A$9:$AN$68,40,FALSE),"")</f>
        <v/>
      </c>
      <c r="D14" s="160" t="str">
        <f>IFERROR(VLOOKUP(A14,PANCASILA!$A$9:$AN$68,40,FALSE),"")</f>
        <v/>
      </c>
      <c r="E14" s="160" t="str">
        <f>IFERROR(VLOOKUP(A14,INDONESIA!$A$9:$AN$68,40,FALSE),"")</f>
        <v/>
      </c>
      <c r="F14" s="160" t="str">
        <f>IFERROR(VLOOKUP(A14,MATEMATIKA!$A$9:$AN$68,40,FALSE),"")</f>
        <v/>
      </c>
      <c r="G14" s="160" t="str">
        <f>IFERROR(VLOOKUP(A14,IPAS!$A$9:$AN$68,40,FALSE),"")</f>
        <v/>
      </c>
      <c r="H14" s="160" t="str">
        <f t="shared" ca="1" si="0"/>
        <v/>
      </c>
      <c r="I14" s="160" t="str">
        <f t="shared" ca="1" si="1"/>
        <v/>
      </c>
      <c r="J14" s="160" t="str">
        <f t="shared" ca="1" si="2"/>
        <v/>
      </c>
      <c r="K14" s="160" t="str">
        <f t="shared" ca="1" si="3"/>
        <v/>
      </c>
      <c r="L14" s="160" t="str">
        <f>IFERROR(VLOOKUP(A14,PJOK!$A$9:$AN$68,40,FALSE),"")</f>
        <v/>
      </c>
      <c r="M14" s="160" t="str">
        <f>IFERROR(VLOOKUP(A14,INGGRIS!$A$9:$AN$68,40,FALSE),"")</f>
        <v/>
      </c>
      <c r="N14" s="160" t="str">
        <f>IFERROR(VLOOKUP(A14,MULOK1!$A$9:$AN$68,40,FALSE),"")</f>
        <v/>
      </c>
      <c r="O14" s="160" t="str">
        <f>IFERROR(VLOOKUP(A14,MULOK2!$A$9:$AN$68,40,FALSE),"")</f>
        <v/>
      </c>
      <c r="P14" s="160" t="str">
        <f>IFERROR(VLOOKUP(A14,MULOK3!$A$9:$AN$68,40,FALSE),"")</f>
        <v/>
      </c>
      <c r="Q14" s="160" t="str">
        <f>IFERROR(VLOOKUP(A14,MULOK4!$A$9:$AN$68,40,FALSE),"")</f>
        <v/>
      </c>
      <c r="R14" s="160" t="str">
        <f>IFERROR(VLOOKUP(A14,MULOK5!$A$9:$AN$68,40,FALSE),"")</f>
        <v/>
      </c>
      <c r="S14" s="161"/>
      <c r="T14" s="162"/>
      <c r="U14" s="29" t="str">
        <f t="shared" si="4"/>
        <v/>
      </c>
      <c r="V14" s="90"/>
    </row>
    <row r="15" spans="1:26" hidden="1" x14ac:dyDescent="0.25">
      <c r="A15" s="159">
        <f>'Identitas Siswa'!A14</f>
        <v>7</v>
      </c>
      <c r="B15" s="159" t="str">
        <f>IF('Identitas Siswa'!D14=0,"",'Identitas Siswa'!D14)</f>
        <v/>
      </c>
      <c r="C15" s="160" t="str">
        <f>IFERROR(VLOOKUP(A15,AGAMA!$A$9:$AN$68,40,FALSE),"")</f>
        <v/>
      </c>
      <c r="D15" s="160" t="str">
        <f>IFERROR(VLOOKUP(A15,PANCASILA!$A$9:$AN$68,40,FALSE),"")</f>
        <v/>
      </c>
      <c r="E15" s="160" t="str">
        <f>IFERROR(VLOOKUP(A15,INDONESIA!$A$9:$AN$68,40,FALSE),"")</f>
        <v/>
      </c>
      <c r="F15" s="160" t="str">
        <f>IFERROR(VLOOKUP(A15,MATEMATIKA!$A$9:$AN$68,40,FALSE),"")</f>
        <v/>
      </c>
      <c r="G15" s="160" t="str">
        <f>IFERROR(VLOOKUP(A15,IPAS!$A$9:$AN$68,40,FALSE),"")</f>
        <v/>
      </c>
      <c r="H15" s="160" t="str">
        <f t="shared" ca="1" si="0"/>
        <v/>
      </c>
      <c r="I15" s="160" t="str">
        <f t="shared" ca="1" si="1"/>
        <v/>
      </c>
      <c r="J15" s="160" t="str">
        <f t="shared" ca="1" si="2"/>
        <v/>
      </c>
      <c r="K15" s="160" t="str">
        <f t="shared" ca="1" si="3"/>
        <v/>
      </c>
      <c r="L15" s="160" t="str">
        <f>IFERROR(VLOOKUP(A15,PJOK!$A$9:$AN$68,40,FALSE),"")</f>
        <v/>
      </c>
      <c r="M15" s="160" t="str">
        <f>IFERROR(VLOOKUP(A15,INGGRIS!$A$9:$AN$68,40,FALSE),"")</f>
        <v/>
      </c>
      <c r="N15" s="160" t="str">
        <f>IFERROR(VLOOKUP(A15,MULOK1!$A$9:$AN$68,40,FALSE),"")</f>
        <v/>
      </c>
      <c r="O15" s="160" t="str">
        <f>IFERROR(VLOOKUP(A15,MULOK2!$A$9:$AN$68,40,FALSE),"")</f>
        <v/>
      </c>
      <c r="P15" s="160" t="str">
        <f>IFERROR(VLOOKUP(A15,MULOK3!$A$9:$AN$68,40,FALSE),"")</f>
        <v/>
      </c>
      <c r="Q15" s="160" t="str">
        <f>IFERROR(VLOOKUP(A15,MULOK4!$A$9:$AN$68,40,FALSE),"")</f>
        <v/>
      </c>
      <c r="R15" s="160" t="str">
        <f>IFERROR(VLOOKUP(A15,MULOK5!$A$9:$AN$68,40,FALSE),"")</f>
        <v/>
      </c>
      <c r="S15" s="161"/>
      <c r="T15" s="162"/>
      <c r="U15" s="29" t="str">
        <f t="shared" si="4"/>
        <v/>
      </c>
      <c r="V15" s="90"/>
    </row>
    <row r="16" spans="1:26" hidden="1" x14ac:dyDescent="0.25">
      <c r="A16" s="159">
        <f>'Identitas Siswa'!A15</f>
        <v>8</v>
      </c>
      <c r="B16" s="159" t="str">
        <f>IF('Identitas Siswa'!D15=0,"",'Identitas Siswa'!D15)</f>
        <v/>
      </c>
      <c r="C16" s="160" t="str">
        <f>IFERROR(VLOOKUP(A16,AGAMA!$A$9:$AN$68,40,FALSE),"")</f>
        <v/>
      </c>
      <c r="D16" s="160" t="str">
        <f>IFERROR(VLOOKUP(A16,PANCASILA!$A$9:$AN$68,40,FALSE),"")</f>
        <v/>
      </c>
      <c r="E16" s="160" t="str">
        <f>IFERROR(VLOOKUP(A16,INDONESIA!$A$9:$AN$68,40,FALSE),"")</f>
        <v/>
      </c>
      <c r="F16" s="160" t="str">
        <f>IFERROR(VLOOKUP(A16,MATEMATIKA!$A$9:$AN$68,40,FALSE),"")</f>
        <v/>
      </c>
      <c r="G16" s="160" t="str">
        <f>IFERROR(VLOOKUP(A16,IPAS!$A$9:$AN$68,40,FALSE),"")</f>
        <v/>
      </c>
      <c r="H16" s="160" t="str">
        <f t="shared" ca="1" si="0"/>
        <v/>
      </c>
      <c r="I16" s="160" t="str">
        <f t="shared" ca="1" si="1"/>
        <v/>
      </c>
      <c r="J16" s="160" t="str">
        <f t="shared" ca="1" si="2"/>
        <v/>
      </c>
      <c r="K16" s="160" t="str">
        <f t="shared" ca="1" si="3"/>
        <v/>
      </c>
      <c r="L16" s="160" t="str">
        <f>IFERROR(VLOOKUP(A16,PJOK!$A$9:$AN$68,40,FALSE),"")</f>
        <v/>
      </c>
      <c r="M16" s="160" t="str">
        <f>IFERROR(VLOOKUP(A16,INGGRIS!$A$9:$AN$68,40,FALSE),"")</f>
        <v/>
      </c>
      <c r="N16" s="160" t="str">
        <f>IFERROR(VLOOKUP(A16,MULOK1!$A$9:$AN$68,40,FALSE),"")</f>
        <v/>
      </c>
      <c r="O16" s="160" t="str">
        <f>IFERROR(VLOOKUP(A16,MULOK2!$A$9:$AN$68,40,FALSE),"")</f>
        <v/>
      </c>
      <c r="P16" s="160" t="str">
        <f>IFERROR(VLOOKUP(A16,MULOK3!$A$9:$AN$68,40,FALSE),"")</f>
        <v/>
      </c>
      <c r="Q16" s="160" t="str">
        <f>IFERROR(VLOOKUP(A16,MULOK4!$A$9:$AN$68,40,FALSE),"")</f>
        <v/>
      </c>
      <c r="R16" s="160" t="str">
        <f>IFERROR(VLOOKUP(A16,MULOK5!$A$9:$AN$68,40,FALSE),"")</f>
        <v/>
      </c>
      <c r="S16" s="161"/>
      <c r="T16" s="162"/>
      <c r="U16" s="29" t="str">
        <f t="shared" si="4"/>
        <v/>
      </c>
      <c r="V16" s="90"/>
    </row>
    <row r="17" spans="1:22" hidden="1" x14ac:dyDescent="0.25">
      <c r="A17" s="159">
        <f>'Identitas Siswa'!A16</f>
        <v>9</v>
      </c>
      <c r="B17" s="159" t="str">
        <f>IF('Identitas Siswa'!D16=0,"",'Identitas Siswa'!D16)</f>
        <v/>
      </c>
      <c r="C17" s="160" t="str">
        <f>IFERROR(VLOOKUP(A17,AGAMA!$A$9:$AN$68,40,FALSE),"")</f>
        <v/>
      </c>
      <c r="D17" s="160" t="str">
        <f>IFERROR(VLOOKUP(A17,PANCASILA!$A$9:$AN$68,40,FALSE),"")</f>
        <v/>
      </c>
      <c r="E17" s="160" t="str">
        <f>IFERROR(VLOOKUP(A17,INDONESIA!$A$9:$AN$68,40,FALSE),"")</f>
        <v/>
      </c>
      <c r="F17" s="160" t="str">
        <f>IFERROR(VLOOKUP(A17,MATEMATIKA!$A$9:$AN$68,40,FALSE),"")</f>
        <v/>
      </c>
      <c r="G17" s="160" t="str">
        <f>IFERROR(VLOOKUP(A17,IPAS!$A$9:$AN$68,40,FALSE),"")</f>
        <v/>
      </c>
      <c r="H17" s="160" t="str">
        <f t="shared" ca="1" si="0"/>
        <v/>
      </c>
      <c r="I17" s="160" t="str">
        <f t="shared" ca="1" si="1"/>
        <v/>
      </c>
      <c r="J17" s="160" t="str">
        <f t="shared" ca="1" si="2"/>
        <v/>
      </c>
      <c r="K17" s="160" t="str">
        <f t="shared" ca="1" si="3"/>
        <v/>
      </c>
      <c r="L17" s="160" t="str">
        <f>IFERROR(VLOOKUP(A17,PJOK!$A$9:$AN$68,40,FALSE),"")</f>
        <v/>
      </c>
      <c r="M17" s="160" t="str">
        <f>IFERROR(VLOOKUP(A17,INGGRIS!$A$9:$AN$68,40,FALSE),"")</f>
        <v/>
      </c>
      <c r="N17" s="160" t="str">
        <f>IFERROR(VLOOKUP(A17,MULOK1!$A$9:$AN$68,40,FALSE),"")</f>
        <v/>
      </c>
      <c r="O17" s="160" t="str">
        <f>IFERROR(VLOOKUP(A17,MULOK2!$A$9:$AN$68,40,FALSE),"")</f>
        <v/>
      </c>
      <c r="P17" s="160" t="str">
        <f>IFERROR(VLOOKUP(A17,MULOK3!$A$9:$AN$68,40,FALSE),"")</f>
        <v/>
      </c>
      <c r="Q17" s="160" t="str">
        <f>IFERROR(VLOOKUP(A17,MULOK4!$A$9:$AN$68,40,FALSE),"")</f>
        <v/>
      </c>
      <c r="R17" s="160" t="str">
        <f>IFERROR(VLOOKUP(A17,MULOK5!$A$9:$AN$68,40,FALSE),"")</f>
        <v/>
      </c>
      <c r="S17" s="161"/>
      <c r="T17" s="162"/>
      <c r="U17" s="29" t="str">
        <f t="shared" si="4"/>
        <v/>
      </c>
      <c r="V17" s="90"/>
    </row>
    <row r="18" spans="1:22" hidden="1" x14ac:dyDescent="0.25">
      <c r="A18" s="159">
        <f>'Identitas Siswa'!A17</f>
        <v>10</v>
      </c>
      <c r="B18" s="159" t="str">
        <f>IF('Identitas Siswa'!D17=0,"",'Identitas Siswa'!D17)</f>
        <v/>
      </c>
      <c r="C18" s="160" t="str">
        <f>IFERROR(VLOOKUP(A18,AGAMA!$A$9:$AN$68,40,FALSE),"")</f>
        <v/>
      </c>
      <c r="D18" s="160" t="str">
        <f>IFERROR(VLOOKUP(A18,PANCASILA!$A$9:$AN$68,40,FALSE),"")</f>
        <v/>
      </c>
      <c r="E18" s="160" t="str">
        <f>IFERROR(VLOOKUP(A18,INDONESIA!$A$9:$AN$68,40,FALSE),"")</f>
        <v/>
      </c>
      <c r="F18" s="160" t="str">
        <f>IFERROR(VLOOKUP(A18,MATEMATIKA!$A$9:$AN$68,40,FALSE),"")</f>
        <v/>
      </c>
      <c r="G18" s="160" t="str">
        <f>IFERROR(VLOOKUP(A18,IPAS!$A$9:$AN$68,40,FALSE),"")</f>
        <v/>
      </c>
      <c r="H18" s="160" t="str">
        <f t="shared" ca="1" si="0"/>
        <v/>
      </c>
      <c r="I18" s="160" t="str">
        <f t="shared" ca="1" si="1"/>
        <v/>
      </c>
      <c r="J18" s="160" t="str">
        <f t="shared" ca="1" si="2"/>
        <v/>
      </c>
      <c r="K18" s="160" t="str">
        <f t="shared" ca="1" si="3"/>
        <v/>
      </c>
      <c r="L18" s="160" t="str">
        <f>IFERROR(VLOOKUP(A18,PJOK!$A$9:$AN$68,40,FALSE),"")</f>
        <v/>
      </c>
      <c r="M18" s="160" t="str">
        <f>IFERROR(VLOOKUP(A18,INGGRIS!$A$9:$AN$68,40,FALSE),"")</f>
        <v/>
      </c>
      <c r="N18" s="160" t="str">
        <f>IFERROR(VLOOKUP(A18,MULOK1!$A$9:$AN$68,40,FALSE),"")</f>
        <v/>
      </c>
      <c r="O18" s="160" t="str">
        <f>IFERROR(VLOOKUP(A18,MULOK2!$A$9:$AN$68,40,FALSE),"")</f>
        <v/>
      </c>
      <c r="P18" s="160" t="str">
        <f>IFERROR(VLOOKUP(A18,MULOK3!$A$9:$AN$68,40,FALSE),"")</f>
        <v/>
      </c>
      <c r="Q18" s="160" t="str">
        <f>IFERROR(VLOOKUP(A18,MULOK4!$A$9:$AN$68,40,FALSE),"")</f>
        <v/>
      </c>
      <c r="R18" s="160" t="str">
        <f>IFERROR(VLOOKUP(A18,MULOK5!$A$9:$AN$68,40,FALSE),"")</f>
        <v/>
      </c>
      <c r="S18" s="161"/>
      <c r="T18" s="162"/>
      <c r="U18" s="29" t="str">
        <f t="shared" si="4"/>
        <v/>
      </c>
      <c r="V18" s="90"/>
    </row>
    <row r="19" spans="1:22" hidden="1" x14ac:dyDescent="0.25">
      <c r="A19" s="159">
        <f>'Identitas Siswa'!A18</f>
        <v>11</v>
      </c>
      <c r="B19" s="159" t="str">
        <f>IF('Identitas Siswa'!D18=0,"",'Identitas Siswa'!D18)</f>
        <v/>
      </c>
      <c r="C19" s="160" t="str">
        <f>IFERROR(VLOOKUP(A19,AGAMA!$A$9:$AN$68,40,FALSE),"")</f>
        <v/>
      </c>
      <c r="D19" s="160" t="str">
        <f>IFERROR(VLOOKUP(A19,PANCASILA!$A$9:$AN$68,40,FALSE),"")</f>
        <v/>
      </c>
      <c r="E19" s="160" t="str">
        <f>IFERROR(VLOOKUP(A19,INDONESIA!$A$9:$AN$68,40,FALSE),"")</f>
        <v/>
      </c>
      <c r="F19" s="160" t="str">
        <f>IFERROR(VLOOKUP(A19,MATEMATIKA!$A$9:$AN$68,40,FALSE),"")</f>
        <v/>
      </c>
      <c r="G19" s="160" t="str">
        <f>IFERROR(VLOOKUP(A19,IPAS!$A$9:$AN$68,40,FALSE),"")</f>
        <v/>
      </c>
      <c r="H19" s="160" t="str">
        <f t="shared" ca="1" si="0"/>
        <v/>
      </c>
      <c r="I19" s="160" t="str">
        <f t="shared" ca="1" si="1"/>
        <v/>
      </c>
      <c r="J19" s="160" t="str">
        <f t="shared" ca="1" si="2"/>
        <v/>
      </c>
      <c r="K19" s="160" t="str">
        <f t="shared" ca="1" si="3"/>
        <v/>
      </c>
      <c r="L19" s="160" t="str">
        <f>IFERROR(VLOOKUP(A19,PJOK!$A$9:$AN$68,40,FALSE),"")</f>
        <v/>
      </c>
      <c r="M19" s="160" t="str">
        <f>IFERROR(VLOOKUP(A19,INGGRIS!$A$9:$AN$68,40,FALSE),"")</f>
        <v/>
      </c>
      <c r="N19" s="160" t="str">
        <f>IFERROR(VLOOKUP(A19,MULOK1!$A$9:$AN$68,40,FALSE),"")</f>
        <v/>
      </c>
      <c r="O19" s="160" t="str">
        <f>IFERROR(VLOOKUP(A19,MULOK2!$A$9:$AN$68,40,FALSE),"")</f>
        <v/>
      </c>
      <c r="P19" s="160" t="str">
        <f>IFERROR(VLOOKUP(A19,MULOK3!$A$9:$AN$68,40,FALSE),"")</f>
        <v/>
      </c>
      <c r="Q19" s="160" t="str">
        <f>IFERROR(VLOOKUP(A19,MULOK4!$A$9:$AN$68,40,FALSE),"")</f>
        <v/>
      </c>
      <c r="R19" s="160" t="str">
        <f>IFERROR(VLOOKUP(A19,MULOK5!$A$9:$AN$68,40,FALSE),"")</f>
        <v/>
      </c>
      <c r="S19" s="161"/>
      <c r="T19" s="162"/>
      <c r="U19" s="29" t="str">
        <f t="shared" si="4"/>
        <v/>
      </c>
      <c r="V19" s="90"/>
    </row>
    <row r="20" spans="1:22" hidden="1" x14ac:dyDescent="0.25">
      <c r="A20" s="159">
        <f>'Identitas Siswa'!A19</f>
        <v>12</v>
      </c>
      <c r="B20" s="159" t="str">
        <f>IF('Identitas Siswa'!D19=0,"",'Identitas Siswa'!D19)</f>
        <v/>
      </c>
      <c r="C20" s="160" t="str">
        <f>IFERROR(VLOOKUP(A20,AGAMA!$A$9:$AN$68,40,FALSE),"")</f>
        <v/>
      </c>
      <c r="D20" s="160" t="str">
        <f>IFERROR(VLOOKUP(A20,PANCASILA!$A$9:$AN$68,40,FALSE),"")</f>
        <v/>
      </c>
      <c r="E20" s="160" t="str">
        <f>IFERROR(VLOOKUP(A20,INDONESIA!$A$9:$AN$68,40,FALSE),"")</f>
        <v/>
      </c>
      <c r="F20" s="160" t="str">
        <f>IFERROR(VLOOKUP(A20,MATEMATIKA!$A$9:$AN$68,40,FALSE),"")</f>
        <v/>
      </c>
      <c r="G20" s="160" t="str">
        <f>IFERROR(VLOOKUP(A20,IPAS!$A$9:$AN$68,40,FALSE),"")</f>
        <v/>
      </c>
      <c r="H20" s="160" t="str">
        <f t="shared" ca="1" si="0"/>
        <v/>
      </c>
      <c r="I20" s="160" t="str">
        <f t="shared" ca="1" si="1"/>
        <v/>
      </c>
      <c r="J20" s="160" t="str">
        <f t="shared" ca="1" si="2"/>
        <v/>
      </c>
      <c r="K20" s="160" t="str">
        <f t="shared" ca="1" si="3"/>
        <v/>
      </c>
      <c r="L20" s="160" t="str">
        <f>IFERROR(VLOOKUP(A20,PJOK!$A$9:$AN$68,40,FALSE),"")</f>
        <v/>
      </c>
      <c r="M20" s="160" t="str">
        <f>IFERROR(VLOOKUP(A20,INGGRIS!$A$9:$AN$68,40,FALSE),"")</f>
        <v/>
      </c>
      <c r="N20" s="160" t="str">
        <f>IFERROR(VLOOKUP(A20,MULOK1!$A$9:$AN$68,40,FALSE),"")</f>
        <v/>
      </c>
      <c r="O20" s="160" t="str">
        <f>IFERROR(VLOOKUP(A20,MULOK2!$A$9:$AN$68,40,FALSE),"")</f>
        <v/>
      </c>
      <c r="P20" s="160" t="str">
        <f>IFERROR(VLOOKUP(A20,MULOK3!$A$9:$AN$68,40,FALSE),"")</f>
        <v/>
      </c>
      <c r="Q20" s="160" t="str">
        <f>IFERROR(VLOOKUP(A20,MULOK4!$A$9:$AN$68,40,FALSE),"")</f>
        <v/>
      </c>
      <c r="R20" s="160" t="str">
        <f>IFERROR(VLOOKUP(A20,MULOK5!$A$9:$AN$68,40,FALSE),"")</f>
        <v/>
      </c>
      <c r="S20" s="161"/>
      <c r="T20" s="162"/>
      <c r="U20" s="29" t="str">
        <f t="shared" si="4"/>
        <v/>
      </c>
      <c r="V20" s="90"/>
    </row>
    <row r="21" spans="1:22" hidden="1" x14ac:dyDescent="0.25">
      <c r="A21" s="159">
        <f>'Identitas Siswa'!A20</f>
        <v>13</v>
      </c>
      <c r="B21" s="159" t="str">
        <f>IF('Identitas Siswa'!D20=0,"",'Identitas Siswa'!D20)</f>
        <v/>
      </c>
      <c r="C21" s="160" t="str">
        <f>IFERROR(VLOOKUP(A21,AGAMA!$A$9:$AN$68,40,FALSE),"")</f>
        <v/>
      </c>
      <c r="D21" s="160" t="str">
        <f>IFERROR(VLOOKUP(A21,PANCASILA!$A$9:$AN$68,40,FALSE),"")</f>
        <v/>
      </c>
      <c r="E21" s="160" t="str">
        <f>IFERROR(VLOOKUP(A21,INDONESIA!$A$9:$AN$68,40,FALSE),"")</f>
        <v/>
      </c>
      <c r="F21" s="160" t="str">
        <f>IFERROR(VLOOKUP(A21,MATEMATIKA!$A$9:$AN$68,40,FALSE),"")</f>
        <v/>
      </c>
      <c r="G21" s="160" t="str">
        <f>IFERROR(VLOOKUP(A21,IPAS!$A$9:$AN$68,40,FALSE),"")</f>
        <v/>
      </c>
      <c r="H21" s="160" t="str">
        <f t="shared" ca="1" si="0"/>
        <v/>
      </c>
      <c r="I21" s="160" t="str">
        <f t="shared" ca="1" si="1"/>
        <v/>
      </c>
      <c r="J21" s="160" t="str">
        <f t="shared" ca="1" si="2"/>
        <v/>
      </c>
      <c r="K21" s="160" t="str">
        <f t="shared" ca="1" si="3"/>
        <v/>
      </c>
      <c r="L21" s="160" t="str">
        <f>IFERROR(VLOOKUP(A21,PJOK!$A$9:$AN$68,40,FALSE),"")</f>
        <v/>
      </c>
      <c r="M21" s="160" t="str">
        <f>IFERROR(VLOOKUP(A21,INGGRIS!$A$9:$AN$68,40,FALSE),"")</f>
        <v/>
      </c>
      <c r="N21" s="160" t="str">
        <f>IFERROR(VLOOKUP(A21,MULOK1!$A$9:$AN$68,40,FALSE),"")</f>
        <v/>
      </c>
      <c r="O21" s="160" t="str">
        <f>IFERROR(VLOOKUP(A21,MULOK2!$A$9:$AN$68,40,FALSE),"")</f>
        <v/>
      </c>
      <c r="P21" s="160" t="str">
        <f>IFERROR(VLOOKUP(A21,MULOK3!$A$9:$AN$68,40,FALSE),"")</f>
        <v/>
      </c>
      <c r="Q21" s="160" t="str">
        <f>IFERROR(VLOOKUP(A21,MULOK4!$A$9:$AN$68,40,FALSE),"")</f>
        <v/>
      </c>
      <c r="R21" s="160" t="str">
        <f>IFERROR(VLOOKUP(A21,MULOK5!$A$9:$AN$68,40,FALSE),"")</f>
        <v/>
      </c>
      <c r="S21" s="161"/>
      <c r="T21" s="162"/>
      <c r="U21" s="29" t="str">
        <f t="shared" si="4"/>
        <v/>
      </c>
      <c r="V21" s="90"/>
    </row>
    <row r="22" spans="1:22" hidden="1" x14ac:dyDescent="0.25">
      <c r="A22" s="159">
        <f>'Identitas Siswa'!A21</f>
        <v>14</v>
      </c>
      <c r="B22" s="159" t="str">
        <f>IF('Identitas Siswa'!D21=0,"",'Identitas Siswa'!D21)</f>
        <v/>
      </c>
      <c r="C22" s="160" t="str">
        <f>IFERROR(VLOOKUP(A22,AGAMA!$A$9:$AN$68,40,FALSE),"")</f>
        <v/>
      </c>
      <c r="D22" s="160" t="str">
        <f>IFERROR(VLOOKUP(A22,PANCASILA!$A$9:$AN$68,40,FALSE),"")</f>
        <v/>
      </c>
      <c r="E22" s="160" t="str">
        <f>IFERROR(VLOOKUP(A22,INDONESIA!$A$9:$AN$68,40,FALSE),"")</f>
        <v/>
      </c>
      <c r="F22" s="160" t="str">
        <f>IFERROR(VLOOKUP(A22,MATEMATIKA!$A$9:$AN$68,40,FALSE),"")</f>
        <v/>
      </c>
      <c r="G22" s="160" t="str">
        <f>IFERROR(VLOOKUP(A22,IPAS!$A$9:$AN$68,40,FALSE),"")</f>
        <v/>
      </c>
      <c r="H22" s="160" t="str">
        <f t="shared" ca="1" si="0"/>
        <v/>
      </c>
      <c r="I22" s="160" t="str">
        <f t="shared" ca="1" si="1"/>
        <v/>
      </c>
      <c r="J22" s="160" t="str">
        <f t="shared" ca="1" si="2"/>
        <v/>
      </c>
      <c r="K22" s="160" t="str">
        <f t="shared" ca="1" si="3"/>
        <v/>
      </c>
      <c r="L22" s="160" t="str">
        <f>IFERROR(VLOOKUP(A22,PJOK!$A$9:$AN$68,40,FALSE),"")</f>
        <v/>
      </c>
      <c r="M22" s="160" t="str">
        <f>IFERROR(VLOOKUP(A22,INGGRIS!$A$9:$AN$68,40,FALSE),"")</f>
        <v/>
      </c>
      <c r="N22" s="160" t="str">
        <f>IFERROR(VLOOKUP(A22,MULOK1!$A$9:$AN$68,40,FALSE),"")</f>
        <v/>
      </c>
      <c r="O22" s="160" t="str">
        <f>IFERROR(VLOOKUP(A22,MULOK2!$A$9:$AN$68,40,FALSE),"")</f>
        <v/>
      </c>
      <c r="P22" s="160" t="str">
        <f>IFERROR(VLOOKUP(A22,MULOK3!$A$9:$AN$68,40,FALSE),"")</f>
        <v/>
      </c>
      <c r="Q22" s="160" t="str">
        <f>IFERROR(VLOOKUP(A22,MULOK4!$A$9:$AN$68,40,FALSE),"")</f>
        <v/>
      </c>
      <c r="R22" s="160" t="str">
        <f>IFERROR(VLOOKUP(A22,MULOK5!$A$9:$AN$68,40,FALSE),"")</f>
        <v/>
      </c>
      <c r="S22" s="161"/>
      <c r="T22" s="162"/>
      <c r="U22" s="29" t="str">
        <f t="shared" si="4"/>
        <v/>
      </c>
      <c r="V22" s="90"/>
    </row>
    <row r="23" spans="1:22" hidden="1" x14ac:dyDescent="0.25">
      <c r="A23" s="159">
        <f>'Identitas Siswa'!A22</f>
        <v>15</v>
      </c>
      <c r="B23" s="159" t="str">
        <f>IF('Identitas Siswa'!D22=0,"",'Identitas Siswa'!D22)</f>
        <v/>
      </c>
      <c r="C23" s="160" t="str">
        <f>IFERROR(VLOOKUP(A23,AGAMA!$A$9:$AN$68,40,FALSE),"")</f>
        <v/>
      </c>
      <c r="D23" s="160" t="str">
        <f>IFERROR(VLOOKUP(A23,PANCASILA!$A$9:$AN$68,40,FALSE),"")</f>
        <v/>
      </c>
      <c r="E23" s="160" t="str">
        <f>IFERROR(VLOOKUP(A23,INDONESIA!$A$9:$AN$68,40,FALSE),"")</f>
        <v/>
      </c>
      <c r="F23" s="160" t="str">
        <f>IFERROR(VLOOKUP(A23,MATEMATIKA!$A$9:$AN$68,40,FALSE),"")</f>
        <v/>
      </c>
      <c r="G23" s="160" t="str">
        <f>IFERROR(VLOOKUP(A23,IPAS!$A$9:$AN$68,40,FALSE),"")</f>
        <v/>
      </c>
      <c r="H23" s="160" t="str">
        <f t="shared" ca="1" si="0"/>
        <v/>
      </c>
      <c r="I23" s="160" t="str">
        <f t="shared" ca="1" si="1"/>
        <v/>
      </c>
      <c r="J23" s="160" t="str">
        <f t="shared" ca="1" si="2"/>
        <v/>
      </c>
      <c r="K23" s="160" t="str">
        <f t="shared" ca="1" si="3"/>
        <v/>
      </c>
      <c r="L23" s="160" t="str">
        <f>IFERROR(VLOOKUP(A23,PJOK!$A$9:$AN$68,40,FALSE),"")</f>
        <v/>
      </c>
      <c r="M23" s="160" t="str">
        <f>IFERROR(VLOOKUP(A23,INGGRIS!$A$9:$AN$68,40,FALSE),"")</f>
        <v/>
      </c>
      <c r="N23" s="160" t="str">
        <f>IFERROR(VLOOKUP(A23,MULOK1!$A$9:$AN$68,40,FALSE),"")</f>
        <v/>
      </c>
      <c r="O23" s="160" t="str">
        <f>IFERROR(VLOOKUP(A23,MULOK2!$A$9:$AN$68,40,FALSE),"")</f>
        <v/>
      </c>
      <c r="P23" s="160" t="str">
        <f>IFERROR(VLOOKUP(A23,MULOK3!$A$9:$AN$68,40,FALSE),"")</f>
        <v/>
      </c>
      <c r="Q23" s="160" t="str">
        <f>IFERROR(VLOOKUP(A23,MULOK4!$A$9:$AN$68,40,FALSE),"")</f>
        <v/>
      </c>
      <c r="R23" s="160" t="str">
        <f>IFERROR(VLOOKUP(A23,MULOK5!$A$9:$AN$68,40,FALSE),"")</f>
        <v/>
      </c>
      <c r="S23" s="161"/>
      <c r="T23" s="162"/>
      <c r="U23" s="29" t="str">
        <f t="shared" si="4"/>
        <v/>
      </c>
      <c r="V23" s="90"/>
    </row>
    <row r="24" spans="1:22" hidden="1" x14ac:dyDescent="0.25">
      <c r="A24" s="159">
        <f>'Identitas Siswa'!A23</f>
        <v>16</v>
      </c>
      <c r="B24" s="159" t="str">
        <f>IF('Identitas Siswa'!D23=0,"",'Identitas Siswa'!D23)</f>
        <v/>
      </c>
      <c r="C24" s="160" t="str">
        <f>IFERROR(VLOOKUP(A24,AGAMA!$A$9:$AN$68,40,FALSE),"")</f>
        <v/>
      </c>
      <c r="D24" s="160" t="str">
        <f>IFERROR(VLOOKUP(A24,PANCASILA!$A$9:$AN$68,40,FALSE),"")</f>
        <v/>
      </c>
      <c r="E24" s="160" t="str">
        <f>IFERROR(VLOOKUP(A24,INDONESIA!$A$9:$AN$68,40,FALSE),"")</f>
        <v/>
      </c>
      <c r="F24" s="160" t="str">
        <f>IFERROR(VLOOKUP(A24,MATEMATIKA!$A$9:$AN$68,40,FALSE),"")</f>
        <v/>
      </c>
      <c r="G24" s="160" t="str">
        <f>IFERROR(VLOOKUP(A24,IPAS!$A$9:$AN$68,40,FALSE),"")</f>
        <v/>
      </c>
      <c r="H24" s="160" t="str">
        <f t="shared" ca="1" si="0"/>
        <v/>
      </c>
      <c r="I24" s="160" t="str">
        <f t="shared" ca="1" si="1"/>
        <v/>
      </c>
      <c r="J24" s="160" t="str">
        <f t="shared" ca="1" si="2"/>
        <v/>
      </c>
      <c r="K24" s="160" t="str">
        <f t="shared" ca="1" si="3"/>
        <v/>
      </c>
      <c r="L24" s="160" t="str">
        <f>IFERROR(VLOOKUP(A24,PJOK!$A$9:$AN$68,40,FALSE),"")</f>
        <v/>
      </c>
      <c r="M24" s="160" t="str">
        <f>IFERROR(VLOOKUP(A24,INGGRIS!$A$9:$AN$68,40,FALSE),"")</f>
        <v/>
      </c>
      <c r="N24" s="160" t="str">
        <f>IFERROR(VLOOKUP(A24,MULOK1!$A$9:$AN$68,40,FALSE),"")</f>
        <v/>
      </c>
      <c r="O24" s="160" t="str">
        <f>IFERROR(VLOOKUP(A24,MULOK2!$A$9:$AN$68,40,FALSE),"")</f>
        <v/>
      </c>
      <c r="P24" s="160" t="str">
        <f>IFERROR(VLOOKUP(A24,MULOK3!$A$9:$AN$68,40,FALSE),"")</f>
        <v/>
      </c>
      <c r="Q24" s="160" t="str">
        <f>IFERROR(VLOOKUP(A24,MULOK4!$A$9:$AN$68,40,FALSE),"")</f>
        <v/>
      </c>
      <c r="R24" s="160" t="str">
        <f>IFERROR(VLOOKUP(A24,MULOK5!$A$9:$AN$68,40,FALSE),"")</f>
        <v/>
      </c>
      <c r="S24" s="161"/>
      <c r="T24" s="162"/>
      <c r="U24" s="29" t="str">
        <f t="shared" si="4"/>
        <v/>
      </c>
      <c r="V24" s="90"/>
    </row>
    <row r="25" spans="1:22" hidden="1" x14ac:dyDescent="0.25">
      <c r="A25" s="159">
        <f>'Identitas Siswa'!A24</f>
        <v>17</v>
      </c>
      <c r="B25" s="159" t="str">
        <f>IF('Identitas Siswa'!D24=0,"",'Identitas Siswa'!D24)</f>
        <v/>
      </c>
      <c r="C25" s="160" t="str">
        <f>IFERROR(VLOOKUP(A25,AGAMA!$A$9:$AN$68,40,FALSE),"")</f>
        <v/>
      </c>
      <c r="D25" s="160" t="str">
        <f>IFERROR(VLOOKUP(A25,PANCASILA!$A$9:$AN$68,40,FALSE),"")</f>
        <v/>
      </c>
      <c r="E25" s="160" t="str">
        <f>IFERROR(VLOOKUP(A25,INDONESIA!$A$9:$AN$68,40,FALSE),"")</f>
        <v/>
      </c>
      <c r="F25" s="160" t="str">
        <f>IFERROR(VLOOKUP(A25,MATEMATIKA!$A$9:$AN$68,40,FALSE),"")</f>
        <v/>
      </c>
      <c r="G25" s="160" t="str">
        <f>IFERROR(VLOOKUP(A25,IPAS!$A$9:$AN$68,40,FALSE),"")</f>
        <v/>
      </c>
      <c r="H25" s="160" t="str">
        <f t="shared" ca="1" si="0"/>
        <v/>
      </c>
      <c r="I25" s="160" t="str">
        <f t="shared" ca="1" si="1"/>
        <v/>
      </c>
      <c r="J25" s="160" t="str">
        <f t="shared" ca="1" si="2"/>
        <v/>
      </c>
      <c r="K25" s="160" t="str">
        <f t="shared" ca="1" si="3"/>
        <v/>
      </c>
      <c r="L25" s="160" t="str">
        <f>IFERROR(VLOOKUP(A25,PJOK!$A$9:$AN$68,40,FALSE),"")</f>
        <v/>
      </c>
      <c r="M25" s="160" t="str">
        <f>IFERROR(VLOOKUP(A25,INGGRIS!$A$9:$AN$68,40,FALSE),"")</f>
        <v/>
      </c>
      <c r="N25" s="160" t="str">
        <f>IFERROR(VLOOKUP(A25,MULOK1!$A$9:$AN$68,40,FALSE),"")</f>
        <v/>
      </c>
      <c r="O25" s="160" t="str">
        <f>IFERROR(VLOOKUP(A25,MULOK2!$A$9:$AN$68,40,FALSE),"")</f>
        <v/>
      </c>
      <c r="P25" s="160" t="str">
        <f>IFERROR(VLOOKUP(A25,MULOK3!$A$9:$AN$68,40,FALSE),"")</f>
        <v/>
      </c>
      <c r="Q25" s="160" t="str">
        <f>IFERROR(VLOOKUP(A25,MULOK4!$A$9:$AN$68,40,FALSE),"")</f>
        <v/>
      </c>
      <c r="R25" s="160" t="str">
        <f>IFERROR(VLOOKUP(A25,MULOK5!$A$9:$AN$68,40,FALSE),"")</f>
        <v/>
      </c>
      <c r="S25" s="161"/>
      <c r="T25" s="162"/>
      <c r="U25" s="29" t="str">
        <f t="shared" si="4"/>
        <v/>
      </c>
      <c r="V25" s="90"/>
    </row>
    <row r="26" spans="1:22" hidden="1" x14ac:dyDescent="0.25">
      <c r="A26" s="159">
        <f>'Identitas Siswa'!A25</f>
        <v>18</v>
      </c>
      <c r="B26" s="159" t="str">
        <f>IF('Identitas Siswa'!D25=0,"",'Identitas Siswa'!D25)</f>
        <v/>
      </c>
      <c r="C26" s="160" t="str">
        <f>IFERROR(VLOOKUP(A26,AGAMA!$A$9:$AN$68,40,FALSE),"")</f>
        <v/>
      </c>
      <c r="D26" s="160" t="str">
        <f>IFERROR(VLOOKUP(A26,PANCASILA!$A$9:$AN$68,40,FALSE),"")</f>
        <v/>
      </c>
      <c r="E26" s="160" t="str">
        <f>IFERROR(VLOOKUP(A26,INDONESIA!$A$9:$AN$68,40,FALSE),"")</f>
        <v/>
      </c>
      <c r="F26" s="160" t="str">
        <f>IFERROR(VLOOKUP(A26,MATEMATIKA!$A$9:$AN$68,40,FALSE),"")</f>
        <v/>
      </c>
      <c r="G26" s="160" t="str">
        <f>IFERROR(VLOOKUP(A26,IPAS!$A$9:$AN$68,40,FALSE),"")</f>
        <v/>
      </c>
      <c r="H26" s="160" t="str">
        <f t="shared" ca="1" si="0"/>
        <v/>
      </c>
      <c r="I26" s="160" t="str">
        <f t="shared" ca="1" si="1"/>
        <v/>
      </c>
      <c r="J26" s="160" t="str">
        <f t="shared" ca="1" si="2"/>
        <v/>
      </c>
      <c r="K26" s="160" t="str">
        <f t="shared" ca="1" si="3"/>
        <v/>
      </c>
      <c r="L26" s="160" t="str">
        <f>IFERROR(VLOOKUP(A26,PJOK!$A$9:$AN$68,40,FALSE),"")</f>
        <v/>
      </c>
      <c r="M26" s="160" t="str">
        <f>IFERROR(VLOOKUP(A26,INGGRIS!$A$9:$AN$68,40,FALSE),"")</f>
        <v/>
      </c>
      <c r="N26" s="160" t="str">
        <f>IFERROR(VLOOKUP(A26,MULOK1!$A$9:$AN$68,40,FALSE),"")</f>
        <v/>
      </c>
      <c r="O26" s="160" t="str">
        <f>IFERROR(VLOOKUP(A26,MULOK2!$A$9:$AN$68,40,FALSE),"")</f>
        <v/>
      </c>
      <c r="P26" s="160" t="str">
        <f>IFERROR(VLOOKUP(A26,MULOK3!$A$9:$AN$68,40,FALSE),"")</f>
        <v/>
      </c>
      <c r="Q26" s="160" t="str">
        <f>IFERROR(VLOOKUP(A26,MULOK4!$A$9:$AN$68,40,FALSE),"")</f>
        <v/>
      </c>
      <c r="R26" s="160" t="str">
        <f>IFERROR(VLOOKUP(A26,MULOK5!$A$9:$AN$68,40,FALSE),"")</f>
        <v/>
      </c>
      <c r="S26" s="161"/>
      <c r="T26" s="162"/>
      <c r="U26" s="29" t="str">
        <f t="shared" si="4"/>
        <v/>
      </c>
      <c r="V26" s="90"/>
    </row>
    <row r="27" spans="1:22" hidden="1" x14ac:dyDescent="0.25">
      <c r="A27" s="159">
        <f>'Identitas Siswa'!A26</f>
        <v>19</v>
      </c>
      <c r="B27" s="159" t="str">
        <f>IF('Identitas Siswa'!D26=0,"",'Identitas Siswa'!D26)</f>
        <v/>
      </c>
      <c r="C27" s="160" t="str">
        <f>IFERROR(VLOOKUP(A27,AGAMA!$A$9:$AN$68,40,FALSE),"")</f>
        <v/>
      </c>
      <c r="D27" s="160" t="str">
        <f>IFERROR(VLOOKUP(A27,PANCASILA!$A$9:$AN$68,40,FALSE),"")</f>
        <v/>
      </c>
      <c r="E27" s="160" t="str">
        <f>IFERROR(VLOOKUP(A27,INDONESIA!$A$9:$AN$68,40,FALSE),"")</f>
        <v/>
      </c>
      <c r="F27" s="160" t="str">
        <f>IFERROR(VLOOKUP(A27,MATEMATIKA!$A$9:$AN$68,40,FALSE),"")</f>
        <v/>
      </c>
      <c r="G27" s="160" t="str">
        <f>IFERROR(VLOOKUP(A27,IPAS!$A$9:$AN$68,40,FALSE),"")</f>
        <v/>
      </c>
      <c r="H27" s="160" t="str">
        <f t="shared" ca="1" si="0"/>
        <v/>
      </c>
      <c r="I27" s="160" t="str">
        <f t="shared" ca="1" si="1"/>
        <v/>
      </c>
      <c r="J27" s="160" t="str">
        <f t="shared" ca="1" si="2"/>
        <v/>
      </c>
      <c r="K27" s="160" t="str">
        <f t="shared" ca="1" si="3"/>
        <v/>
      </c>
      <c r="L27" s="160" t="str">
        <f>IFERROR(VLOOKUP(A27,PJOK!$A$9:$AN$68,40,FALSE),"")</f>
        <v/>
      </c>
      <c r="M27" s="160" t="str">
        <f>IFERROR(VLOOKUP(A27,INGGRIS!$A$9:$AN$68,40,FALSE),"")</f>
        <v/>
      </c>
      <c r="N27" s="160" t="str">
        <f>IFERROR(VLOOKUP(A27,MULOK1!$A$9:$AN$68,40,FALSE),"")</f>
        <v/>
      </c>
      <c r="O27" s="160" t="str">
        <f>IFERROR(VLOOKUP(A27,MULOK2!$A$9:$AN$68,40,FALSE),"")</f>
        <v/>
      </c>
      <c r="P27" s="160" t="str">
        <f>IFERROR(VLOOKUP(A27,MULOK3!$A$9:$AN$68,40,FALSE),"")</f>
        <v/>
      </c>
      <c r="Q27" s="160" t="str">
        <f>IFERROR(VLOOKUP(A27,MULOK4!$A$9:$AN$68,40,FALSE),"")</f>
        <v/>
      </c>
      <c r="R27" s="160" t="str">
        <f>IFERROR(VLOOKUP(A27,MULOK5!$A$9:$AN$68,40,FALSE),"")</f>
        <v/>
      </c>
      <c r="S27" s="161"/>
      <c r="T27" s="162"/>
      <c r="U27" s="29" t="str">
        <f t="shared" si="4"/>
        <v/>
      </c>
      <c r="V27" s="90"/>
    </row>
    <row r="28" spans="1:22" hidden="1" x14ac:dyDescent="0.25">
      <c r="A28" s="159">
        <f>'Identitas Siswa'!A27</f>
        <v>20</v>
      </c>
      <c r="B28" s="159" t="str">
        <f>IF('Identitas Siswa'!D27=0,"",'Identitas Siswa'!D27)</f>
        <v/>
      </c>
      <c r="C28" s="160" t="str">
        <f>IFERROR(VLOOKUP(A28,AGAMA!$A$9:$AN$68,40,FALSE),"")</f>
        <v/>
      </c>
      <c r="D28" s="160" t="str">
        <f>IFERROR(VLOOKUP(A28,PANCASILA!$A$9:$AN$68,40,FALSE),"")</f>
        <v/>
      </c>
      <c r="E28" s="160" t="str">
        <f>IFERROR(VLOOKUP(A28,INDONESIA!$A$9:$AN$68,40,FALSE),"")</f>
        <v/>
      </c>
      <c r="F28" s="160" t="str">
        <f>IFERROR(VLOOKUP(A28,MATEMATIKA!$A$9:$AN$68,40,FALSE),"")</f>
        <v/>
      </c>
      <c r="G28" s="160" t="str">
        <f>IFERROR(VLOOKUP(A28,IPAS!$A$9:$AN$68,40,FALSE),"")</f>
        <v/>
      </c>
      <c r="H28" s="160" t="str">
        <f t="shared" ca="1" si="0"/>
        <v/>
      </c>
      <c r="I28" s="160" t="str">
        <f t="shared" ca="1" si="1"/>
        <v/>
      </c>
      <c r="J28" s="160" t="str">
        <f t="shared" ca="1" si="2"/>
        <v/>
      </c>
      <c r="K28" s="160" t="str">
        <f t="shared" ca="1" si="3"/>
        <v/>
      </c>
      <c r="L28" s="160" t="str">
        <f>IFERROR(VLOOKUP(A28,PJOK!$A$9:$AN$68,40,FALSE),"")</f>
        <v/>
      </c>
      <c r="M28" s="160" t="str">
        <f>IFERROR(VLOOKUP(A28,INGGRIS!$A$9:$AN$68,40,FALSE),"")</f>
        <v/>
      </c>
      <c r="N28" s="160" t="str">
        <f>IFERROR(VLOOKUP(A28,MULOK1!$A$9:$AN$68,40,FALSE),"")</f>
        <v/>
      </c>
      <c r="O28" s="160" t="str">
        <f>IFERROR(VLOOKUP(A28,MULOK2!$A$9:$AN$68,40,FALSE),"")</f>
        <v/>
      </c>
      <c r="P28" s="160" t="str">
        <f>IFERROR(VLOOKUP(A28,MULOK3!$A$9:$AN$68,40,FALSE),"")</f>
        <v/>
      </c>
      <c r="Q28" s="160" t="str">
        <f>IFERROR(VLOOKUP(A28,MULOK4!$A$9:$AN$68,40,FALSE),"")</f>
        <v/>
      </c>
      <c r="R28" s="160" t="str">
        <f>IFERROR(VLOOKUP(A28,MULOK5!$A$9:$AN$68,40,FALSE),"")</f>
        <v/>
      </c>
      <c r="S28" s="161"/>
      <c r="T28" s="162"/>
      <c r="U28" s="29" t="str">
        <f t="shared" si="4"/>
        <v/>
      </c>
      <c r="V28" s="90"/>
    </row>
    <row r="29" spans="1:22" hidden="1" x14ac:dyDescent="0.25">
      <c r="A29" s="159">
        <f>'Identitas Siswa'!A28</f>
        <v>21</v>
      </c>
      <c r="B29" s="159" t="str">
        <f>IF('Identitas Siswa'!D28=0,"",'Identitas Siswa'!D28)</f>
        <v/>
      </c>
      <c r="C29" s="160" t="str">
        <f>IFERROR(VLOOKUP(A29,AGAMA!$A$9:$AN$68,40,FALSE),"")</f>
        <v/>
      </c>
      <c r="D29" s="160" t="str">
        <f>IFERROR(VLOOKUP(A29,PANCASILA!$A$9:$AN$68,40,FALSE),"")</f>
        <v/>
      </c>
      <c r="E29" s="160" t="str">
        <f>IFERROR(VLOOKUP(A29,INDONESIA!$A$9:$AN$68,40,FALSE),"")</f>
        <v/>
      </c>
      <c r="F29" s="160" t="str">
        <f>IFERROR(VLOOKUP(A29,MATEMATIKA!$A$9:$AN$68,40,FALSE),"")</f>
        <v/>
      </c>
      <c r="G29" s="160" t="str">
        <f>IFERROR(VLOOKUP(A29,IPAS!$A$9:$AN$68,40,FALSE),"")</f>
        <v/>
      </c>
      <c r="H29" s="160" t="str">
        <f t="shared" ca="1" si="0"/>
        <v/>
      </c>
      <c r="I29" s="160" t="str">
        <f t="shared" ca="1" si="1"/>
        <v/>
      </c>
      <c r="J29" s="160" t="str">
        <f t="shared" ca="1" si="2"/>
        <v/>
      </c>
      <c r="K29" s="160" t="str">
        <f t="shared" ca="1" si="3"/>
        <v/>
      </c>
      <c r="L29" s="160" t="str">
        <f>IFERROR(VLOOKUP(A29,PJOK!$A$9:$AN$68,40,FALSE),"")</f>
        <v/>
      </c>
      <c r="M29" s="160" t="str">
        <f>IFERROR(VLOOKUP(A29,INGGRIS!$A$9:$AN$68,40,FALSE),"")</f>
        <v/>
      </c>
      <c r="N29" s="160" t="str">
        <f>IFERROR(VLOOKUP(A29,MULOK1!$A$9:$AN$68,40,FALSE),"")</f>
        <v/>
      </c>
      <c r="O29" s="160" t="str">
        <f>IFERROR(VLOOKUP(A29,MULOK2!$A$9:$AN$68,40,FALSE),"")</f>
        <v/>
      </c>
      <c r="P29" s="160" t="str">
        <f>IFERROR(VLOOKUP(A29,MULOK3!$A$9:$AN$68,40,FALSE),"")</f>
        <v/>
      </c>
      <c r="Q29" s="160" t="str">
        <f>IFERROR(VLOOKUP(A29,MULOK4!$A$9:$AN$68,40,FALSE),"")</f>
        <v/>
      </c>
      <c r="R29" s="160" t="str">
        <f>IFERROR(VLOOKUP(A29,MULOK5!$A$9:$AN$68,40,FALSE),"")</f>
        <v/>
      </c>
      <c r="S29" s="161"/>
      <c r="T29" s="162"/>
      <c r="U29" s="29" t="str">
        <f t="shared" si="4"/>
        <v/>
      </c>
      <c r="V29" s="90"/>
    </row>
    <row r="30" spans="1:22" hidden="1" x14ac:dyDescent="0.25">
      <c r="A30" s="159">
        <f>'Identitas Siswa'!A29</f>
        <v>22</v>
      </c>
      <c r="B30" s="159" t="str">
        <f>IF('Identitas Siswa'!D29=0,"",'Identitas Siswa'!D29)</f>
        <v/>
      </c>
      <c r="C30" s="160" t="str">
        <f>IFERROR(VLOOKUP(A30,AGAMA!$A$9:$AN$68,40,FALSE),"")</f>
        <v/>
      </c>
      <c r="D30" s="160" t="str">
        <f>IFERROR(VLOOKUP(A30,PANCASILA!$A$9:$AN$68,40,FALSE),"")</f>
        <v/>
      </c>
      <c r="E30" s="160" t="str">
        <f>IFERROR(VLOOKUP(A30,INDONESIA!$A$9:$AN$68,40,FALSE),"")</f>
        <v/>
      </c>
      <c r="F30" s="160" t="str">
        <f>IFERROR(VLOOKUP(A30,MATEMATIKA!$A$9:$AN$68,40,FALSE),"")</f>
        <v/>
      </c>
      <c r="G30" s="160" t="str">
        <f>IFERROR(VLOOKUP(A30,IPAS!$A$9:$AN$68,40,FALSE),"")</f>
        <v/>
      </c>
      <c r="H30" s="160" t="str">
        <f t="shared" ca="1" si="0"/>
        <v/>
      </c>
      <c r="I30" s="160" t="str">
        <f t="shared" ca="1" si="1"/>
        <v/>
      </c>
      <c r="J30" s="160" t="str">
        <f t="shared" ca="1" si="2"/>
        <v/>
      </c>
      <c r="K30" s="160" t="str">
        <f t="shared" ca="1" si="3"/>
        <v/>
      </c>
      <c r="L30" s="160" t="str">
        <f>IFERROR(VLOOKUP(A30,PJOK!$A$9:$AN$68,40,FALSE),"")</f>
        <v/>
      </c>
      <c r="M30" s="160" t="str">
        <f>IFERROR(VLOOKUP(A30,INGGRIS!$A$9:$AN$68,40,FALSE),"")</f>
        <v/>
      </c>
      <c r="N30" s="160" t="str">
        <f>IFERROR(VLOOKUP(A30,MULOK1!$A$9:$AN$68,40,FALSE),"")</f>
        <v/>
      </c>
      <c r="O30" s="160" t="str">
        <f>IFERROR(VLOOKUP(A30,MULOK2!$A$9:$AN$68,40,FALSE),"")</f>
        <v/>
      </c>
      <c r="P30" s="160" t="str">
        <f>IFERROR(VLOOKUP(A30,MULOK3!$A$9:$AN$68,40,FALSE),"")</f>
        <v/>
      </c>
      <c r="Q30" s="160" t="str">
        <f>IFERROR(VLOOKUP(A30,MULOK4!$A$9:$AN$68,40,FALSE),"")</f>
        <v/>
      </c>
      <c r="R30" s="160" t="str">
        <f>IFERROR(VLOOKUP(A30,MULOK5!$A$9:$AN$68,40,FALSE),"")</f>
        <v/>
      </c>
      <c r="S30" s="161"/>
      <c r="T30" s="162"/>
      <c r="U30" s="29" t="str">
        <f t="shared" si="4"/>
        <v/>
      </c>
      <c r="V30" s="90"/>
    </row>
    <row r="31" spans="1:22" hidden="1" x14ac:dyDescent="0.25">
      <c r="A31" s="159">
        <f>'Identitas Siswa'!A30</f>
        <v>23</v>
      </c>
      <c r="B31" s="159" t="str">
        <f>IF('Identitas Siswa'!D30=0,"",'Identitas Siswa'!D30)</f>
        <v/>
      </c>
      <c r="C31" s="160" t="str">
        <f>IFERROR(VLOOKUP(A31,AGAMA!$A$9:$AN$68,40,FALSE),"")</f>
        <v/>
      </c>
      <c r="D31" s="160" t="str">
        <f>IFERROR(VLOOKUP(A31,PANCASILA!$A$9:$AN$68,40,FALSE),"")</f>
        <v/>
      </c>
      <c r="E31" s="160" t="str">
        <f>IFERROR(VLOOKUP(A31,INDONESIA!$A$9:$AN$68,40,FALSE),"")</f>
        <v/>
      </c>
      <c r="F31" s="160" t="str">
        <f>IFERROR(VLOOKUP(A31,MATEMATIKA!$A$9:$AN$68,40,FALSE),"")</f>
        <v/>
      </c>
      <c r="G31" s="160" t="str">
        <f>IFERROR(VLOOKUP(A31,IPAS!$A$9:$AN$68,40,FALSE),"")</f>
        <v/>
      </c>
      <c r="H31" s="160" t="str">
        <f t="shared" ca="1" si="0"/>
        <v/>
      </c>
      <c r="I31" s="160" t="str">
        <f t="shared" ca="1" si="1"/>
        <v/>
      </c>
      <c r="J31" s="160" t="str">
        <f t="shared" ca="1" si="2"/>
        <v/>
      </c>
      <c r="K31" s="160" t="str">
        <f t="shared" ca="1" si="3"/>
        <v/>
      </c>
      <c r="L31" s="160" t="str">
        <f>IFERROR(VLOOKUP(A31,PJOK!$A$9:$AN$68,40,FALSE),"")</f>
        <v/>
      </c>
      <c r="M31" s="160" t="str">
        <f>IFERROR(VLOOKUP(A31,INGGRIS!$A$9:$AN$68,40,FALSE),"")</f>
        <v/>
      </c>
      <c r="N31" s="160" t="str">
        <f>IFERROR(VLOOKUP(A31,MULOK1!$A$9:$AN$68,40,FALSE),"")</f>
        <v/>
      </c>
      <c r="O31" s="160" t="str">
        <f>IFERROR(VLOOKUP(A31,MULOK2!$A$9:$AN$68,40,FALSE),"")</f>
        <v/>
      </c>
      <c r="P31" s="160" t="str">
        <f>IFERROR(VLOOKUP(A31,MULOK3!$A$9:$AN$68,40,FALSE),"")</f>
        <v/>
      </c>
      <c r="Q31" s="160" t="str">
        <f>IFERROR(VLOOKUP(A31,MULOK4!$A$9:$AN$68,40,FALSE),"")</f>
        <v/>
      </c>
      <c r="R31" s="160" t="str">
        <f>IFERROR(VLOOKUP(A31,MULOK5!$A$9:$AN$68,40,FALSE),"")</f>
        <v/>
      </c>
      <c r="S31" s="161"/>
      <c r="T31" s="162"/>
      <c r="U31" s="29" t="str">
        <f t="shared" si="4"/>
        <v/>
      </c>
      <c r="V31" s="90"/>
    </row>
    <row r="32" spans="1:22" hidden="1" x14ac:dyDescent="0.25">
      <c r="A32" s="159">
        <f>'Identitas Siswa'!A31</f>
        <v>24</v>
      </c>
      <c r="B32" s="159" t="str">
        <f>IF('Identitas Siswa'!D31=0,"",'Identitas Siswa'!D31)</f>
        <v/>
      </c>
      <c r="C32" s="160" t="str">
        <f>IFERROR(VLOOKUP(A32,AGAMA!$A$9:$AN$68,40,FALSE),"")</f>
        <v/>
      </c>
      <c r="D32" s="160" t="str">
        <f>IFERROR(VLOOKUP(A32,PANCASILA!$A$9:$AN$68,40,FALSE),"")</f>
        <v/>
      </c>
      <c r="E32" s="160" t="str">
        <f>IFERROR(VLOOKUP(A32,INDONESIA!$A$9:$AN$68,40,FALSE),"")</f>
        <v/>
      </c>
      <c r="F32" s="160" t="str">
        <f>IFERROR(VLOOKUP(A32,MATEMATIKA!$A$9:$AN$68,40,FALSE),"")</f>
        <v/>
      </c>
      <c r="G32" s="160" t="str">
        <f>IFERROR(VLOOKUP(A32,IPAS!$A$9:$AN$68,40,FALSE),"")</f>
        <v/>
      </c>
      <c r="H32" s="160" t="str">
        <f t="shared" ca="1" si="0"/>
        <v/>
      </c>
      <c r="I32" s="160" t="str">
        <f t="shared" ca="1" si="1"/>
        <v/>
      </c>
      <c r="J32" s="160" t="str">
        <f t="shared" ca="1" si="2"/>
        <v/>
      </c>
      <c r="K32" s="160" t="str">
        <f t="shared" ca="1" si="3"/>
        <v/>
      </c>
      <c r="L32" s="160" t="str">
        <f>IFERROR(VLOOKUP(A32,PJOK!$A$9:$AN$68,40,FALSE),"")</f>
        <v/>
      </c>
      <c r="M32" s="160" t="str">
        <f>IFERROR(VLOOKUP(A32,INGGRIS!$A$9:$AN$68,40,FALSE),"")</f>
        <v/>
      </c>
      <c r="N32" s="160" t="str">
        <f>IFERROR(VLOOKUP(A32,MULOK1!$A$9:$AN$68,40,FALSE),"")</f>
        <v/>
      </c>
      <c r="O32" s="160" t="str">
        <f>IFERROR(VLOOKUP(A32,MULOK2!$A$9:$AN$68,40,FALSE),"")</f>
        <v/>
      </c>
      <c r="P32" s="160" t="str">
        <f>IFERROR(VLOOKUP(A32,MULOK3!$A$9:$AN$68,40,FALSE),"")</f>
        <v/>
      </c>
      <c r="Q32" s="160" t="str">
        <f>IFERROR(VLOOKUP(A32,MULOK4!$A$9:$AN$68,40,FALSE),"")</f>
        <v/>
      </c>
      <c r="R32" s="160" t="str">
        <f>IFERROR(VLOOKUP(A32,MULOK5!$A$9:$AN$68,40,FALSE),"")</f>
        <v/>
      </c>
      <c r="S32" s="161"/>
      <c r="T32" s="162"/>
      <c r="U32" s="29" t="str">
        <f t="shared" ref="U32:U68" si="5">IF(S32="","",RANK(S32,$S$9:$S$68,0))</f>
        <v/>
      </c>
      <c r="V32" s="90"/>
    </row>
    <row r="33" spans="1:22" hidden="1" x14ac:dyDescent="0.25">
      <c r="A33" s="159">
        <f>'Identitas Siswa'!A32</f>
        <v>25</v>
      </c>
      <c r="B33" s="159" t="str">
        <f>IF('Identitas Siswa'!D32=0,"",'Identitas Siswa'!D32)</f>
        <v/>
      </c>
      <c r="C33" s="160" t="str">
        <f>IFERROR(VLOOKUP(A33,AGAMA!$A$9:$AN$68,40,FALSE),"")</f>
        <v/>
      </c>
      <c r="D33" s="160" t="str">
        <f>IFERROR(VLOOKUP(A33,PANCASILA!$A$9:$AN$68,40,FALSE),"")</f>
        <v/>
      </c>
      <c r="E33" s="160" t="str">
        <f>IFERROR(VLOOKUP(A33,INDONESIA!$A$9:$AN$68,40,FALSE),"")</f>
        <v/>
      </c>
      <c r="F33" s="160" t="str">
        <f>IFERROR(VLOOKUP(A33,MATEMATIKA!$A$9:$AN$68,40,FALSE),"")</f>
        <v/>
      </c>
      <c r="G33" s="160" t="str">
        <f>IFERROR(VLOOKUP(A33,IPAS!$A$9:$AN$68,40,FALSE),"")</f>
        <v/>
      </c>
      <c r="H33" s="160" t="str">
        <f t="shared" ca="1" si="0"/>
        <v/>
      </c>
      <c r="I33" s="160" t="str">
        <f t="shared" ca="1" si="1"/>
        <v/>
      </c>
      <c r="J33" s="160" t="str">
        <f t="shared" ca="1" si="2"/>
        <v/>
      </c>
      <c r="K33" s="160" t="str">
        <f t="shared" ca="1" si="3"/>
        <v/>
      </c>
      <c r="L33" s="160" t="str">
        <f>IFERROR(VLOOKUP(A33,PJOK!$A$9:$AN$68,40,FALSE),"")</f>
        <v/>
      </c>
      <c r="M33" s="160" t="str">
        <f>IFERROR(VLOOKUP(A33,INGGRIS!$A$9:$AN$68,40,FALSE),"")</f>
        <v/>
      </c>
      <c r="N33" s="160" t="str">
        <f>IFERROR(VLOOKUP(A33,MULOK1!$A$9:$AN$68,40,FALSE),"")</f>
        <v/>
      </c>
      <c r="O33" s="160" t="str">
        <f>IFERROR(VLOOKUP(A33,MULOK2!$A$9:$AN$68,40,FALSE),"")</f>
        <v/>
      </c>
      <c r="P33" s="160" t="str">
        <f>IFERROR(VLOOKUP(A33,MULOK3!$A$9:$AN$68,40,FALSE),"")</f>
        <v/>
      </c>
      <c r="Q33" s="160" t="str">
        <f>IFERROR(VLOOKUP(A33,MULOK4!$A$9:$AN$68,40,FALSE),"")</f>
        <v/>
      </c>
      <c r="R33" s="160" t="str">
        <f>IFERROR(VLOOKUP(A33,MULOK5!$A$9:$AN$68,40,FALSE),"")</f>
        <v/>
      </c>
      <c r="S33" s="161"/>
      <c r="T33" s="162"/>
      <c r="U33" s="29" t="str">
        <f t="shared" si="5"/>
        <v/>
      </c>
      <c r="V33" s="90"/>
    </row>
    <row r="34" spans="1:22" hidden="1" x14ac:dyDescent="0.25">
      <c r="A34" s="159">
        <f>'Identitas Siswa'!A33</f>
        <v>26</v>
      </c>
      <c r="B34" s="159" t="str">
        <f>IF('Identitas Siswa'!D33=0,"",'Identitas Siswa'!D33)</f>
        <v/>
      </c>
      <c r="C34" s="160" t="str">
        <f>IFERROR(VLOOKUP(A34,AGAMA!$A$9:$AN$68,40,FALSE),"")</f>
        <v/>
      </c>
      <c r="D34" s="160" t="str">
        <f>IFERROR(VLOOKUP(A34,PANCASILA!$A$9:$AN$68,40,FALSE),"")</f>
        <v/>
      </c>
      <c r="E34" s="160" t="str">
        <f>IFERROR(VLOOKUP(A34,INDONESIA!$A$9:$AN$68,40,FALSE),"")</f>
        <v/>
      </c>
      <c r="F34" s="160" t="str">
        <f>IFERROR(VLOOKUP(A34,MATEMATIKA!$A$9:$AN$68,40,FALSE),"")</f>
        <v/>
      </c>
      <c r="G34" s="160" t="str">
        <f>IFERROR(VLOOKUP(A34,IPAS!$A$9:$AN$68,40,FALSE),"")</f>
        <v/>
      </c>
      <c r="H34" s="160" t="str">
        <f t="shared" ca="1" si="0"/>
        <v/>
      </c>
      <c r="I34" s="160" t="str">
        <f t="shared" ca="1" si="1"/>
        <v/>
      </c>
      <c r="J34" s="160" t="str">
        <f t="shared" ca="1" si="2"/>
        <v/>
      </c>
      <c r="K34" s="160" t="str">
        <f t="shared" ca="1" si="3"/>
        <v/>
      </c>
      <c r="L34" s="160" t="str">
        <f>IFERROR(VLOOKUP(A34,PJOK!$A$9:$AN$68,40,FALSE),"")</f>
        <v/>
      </c>
      <c r="M34" s="160" t="str">
        <f>IFERROR(VLOOKUP(A34,INGGRIS!$A$9:$AN$68,40,FALSE),"")</f>
        <v/>
      </c>
      <c r="N34" s="160" t="str">
        <f>IFERROR(VLOOKUP(A34,MULOK1!$A$9:$AN$68,40,FALSE),"")</f>
        <v/>
      </c>
      <c r="O34" s="160" t="str">
        <f>IFERROR(VLOOKUP(A34,MULOK2!$A$9:$AN$68,40,FALSE),"")</f>
        <v/>
      </c>
      <c r="P34" s="160" t="str">
        <f>IFERROR(VLOOKUP(A34,MULOK3!$A$9:$AN$68,40,FALSE),"")</f>
        <v/>
      </c>
      <c r="Q34" s="160" t="str">
        <f>IFERROR(VLOOKUP(A34,MULOK4!$A$9:$AN$68,40,FALSE),"")</f>
        <v/>
      </c>
      <c r="R34" s="160" t="str">
        <f>IFERROR(VLOOKUP(A34,MULOK5!$A$9:$AN$68,40,FALSE),"")</f>
        <v/>
      </c>
      <c r="S34" s="161"/>
      <c r="T34" s="162"/>
      <c r="U34" s="29" t="str">
        <f t="shared" si="5"/>
        <v/>
      </c>
      <c r="V34" s="90"/>
    </row>
    <row r="35" spans="1:22" hidden="1" x14ac:dyDescent="0.25">
      <c r="A35" s="159">
        <f>'Identitas Siswa'!A34</f>
        <v>27</v>
      </c>
      <c r="B35" s="159" t="str">
        <f>IF('Identitas Siswa'!D34=0,"",'Identitas Siswa'!D34)</f>
        <v/>
      </c>
      <c r="C35" s="160" t="str">
        <f>IFERROR(VLOOKUP(A35,AGAMA!$A$9:$AN$68,40,FALSE),"")</f>
        <v/>
      </c>
      <c r="D35" s="160" t="str">
        <f>IFERROR(VLOOKUP(A35,PANCASILA!$A$9:$AN$68,40,FALSE),"")</f>
        <v/>
      </c>
      <c r="E35" s="160" t="str">
        <f>IFERROR(VLOOKUP(A35,INDONESIA!$A$9:$AN$68,40,FALSE),"")</f>
        <v/>
      </c>
      <c r="F35" s="160" t="str">
        <f>IFERROR(VLOOKUP(A35,MATEMATIKA!$A$9:$AN$68,40,FALSE),"")</f>
        <v/>
      </c>
      <c r="G35" s="160" t="str">
        <f>IFERROR(VLOOKUP(A35,IPAS!$A$9:$AN$68,40,FALSE),"")</f>
        <v/>
      </c>
      <c r="H35" s="160" t="str">
        <f t="shared" ca="1" si="0"/>
        <v/>
      </c>
      <c r="I35" s="160" t="str">
        <f t="shared" ca="1" si="1"/>
        <v/>
      </c>
      <c r="J35" s="160" t="str">
        <f t="shared" ca="1" si="2"/>
        <v/>
      </c>
      <c r="K35" s="160" t="str">
        <f t="shared" ca="1" si="3"/>
        <v/>
      </c>
      <c r="L35" s="160" t="str">
        <f>IFERROR(VLOOKUP(A35,PJOK!$A$9:$AN$68,40,FALSE),"")</f>
        <v/>
      </c>
      <c r="M35" s="160" t="str">
        <f>IFERROR(VLOOKUP(A35,INGGRIS!$A$9:$AN$68,40,FALSE),"")</f>
        <v/>
      </c>
      <c r="N35" s="160" t="str">
        <f>IFERROR(VLOOKUP(A35,MULOK1!$A$9:$AN$68,40,FALSE),"")</f>
        <v/>
      </c>
      <c r="O35" s="160" t="str">
        <f>IFERROR(VLOOKUP(A35,MULOK2!$A$9:$AN$68,40,FALSE),"")</f>
        <v/>
      </c>
      <c r="P35" s="160" t="str">
        <f>IFERROR(VLOOKUP(A35,MULOK3!$A$9:$AN$68,40,FALSE),"")</f>
        <v/>
      </c>
      <c r="Q35" s="160" t="str">
        <f>IFERROR(VLOOKUP(A35,MULOK4!$A$9:$AN$68,40,FALSE),"")</f>
        <v/>
      </c>
      <c r="R35" s="160" t="str">
        <f>IFERROR(VLOOKUP(A35,MULOK5!$A$9:$AN$68,40,FALSE),"")</f>
        <v/>
      </c>
      <c r="S35" s="161"/>
      <c r="T35" s="162"/>
      <c r="U35" s="29" t="str">
        <f t="shared" si="5"/>
        <v/>
      </c>
      <c r="V35" s="90"/>
    </row>
    <row r="36" spans="1:22" hidden="1" x14ac:dyDescent="0.25">
      <c r="A36" s="159">
        <f>'Identitas Siswa'!A35</f>
        <v>28</v>
      </c>
      <c r="B36" s="159" t="str">
        <f>IF('Identitas Siswa'!D35=0,"",'Identitas Siswa'!D35)</f>
        <v/>
      </c>
      <c r="C36" s="160" t="str">
        <f>IFERROR(VLOOKUP(A36,AGAMA!$A$9:$AN$68,40,FALSE),"")</f>
        <v/>
      </c>
      <c r="D36" s="160" t="str">
        <f>IFERROR(VLOOKUP(A36,PANCASILA!$A$9:$AN$68,40,FALSE),"")</f>
        <v/>
      </c>
      <c r="E36" s="160" t="str">
        <f>IFERROR(VLOOKUP(A36,INDONESIA!$A$9:$AN$68,40,FALSE),"")</f>
        <v/>
      </c>
      <c r="F36" s="160" t="str">
        <f>IFERROR(VLOOKUP(A36,MATEMATIKA!$A$9:$AN$68,40,FALSE),"")</f>
        <v/>
      </c>
      <c r="G36" s="160" t="str">
        <f>IFERROR(VLOOKUP(A36,IPAS!$A$9:$AN$68,40,FALSE),"")</f>
        <v/>
      </c>
      <c r="H36" s="160" t="str">
        <f t="shared" ca="1" si="0"/>
        <v/>
      </c>
      <c r="I36" s="160" t="str">
        <f t="shared" ca="1" si="1"/>
        <v/>
      </c>
      <c r="J36" s="160" t="str">
        <f t="shared" ca="1" si="2"/>
        <v/>
      </c>
      <c r="K36" s="160" t="str">
        <f t="shared" ca="1" si="3"/>
        <v/>
      </c>
      <c r="L36" s="160" t="str">
        <f>IFERROR(VLOOKUP(A36,PJOK!$A$9:$AN$68,40,FALSE),"")</f>
        <v/>
      </c>
      <c r="M36" s="160" t="str">
        <f>IFERROR(VLOOKUP(A36,INGGRIS!$A$9:$AN$68,40,FALSE),"")</f>
        <v/>
      </c>
      <c r="N36" s="160" t="str">
        <f>IFERROR(VLOOKUP(A36,MULOK1!$A$9:$AN$68,40,FALSE),"")</f>
        <v/>
      </c>
      <c r="O36" s="160" t="str">
        <f>IFERROR(VLOOKUP(A36,MULOK2!$A$9:$AN$68,40,FALSE),"")</f>
        <v/>
      </c>
      <c r="P36" s="160" t="str">
        <f>IFERROR(VLOOKUP(A36,MULOK3!$A$9:$AN$68,40,FALSE),"")</f>
        <v/>
      </c>
      <c r="Q36" s="160" t="str">
        <f>IFERROR(VLOOKUP(A36,MULOK4!$A$9:$AN$68,40,FALSE),"")</f>
        <v/>
      </c>
      <c r="R36" s="160" t="str">
        <f>IFERROR(VLOOKUP(A36,MULOK5!$A$9:$AN$68,40,FALSE),"")</f>
        <v/>
      </c>
      <c r="S36" s="161"/>
      <c r="T36" s="162"/>
      <c r="U36" s="29" t="str">
        <f t="shared" si="5"/>
        <v/>
      </c>
      <c r="V36" s="90"/>
    </row>
    <row r="37" spans="1:22" hidden="1" x14ac:dyDescent="0.25">
      <c r="A37" s="159">
        <f>'Identitas Siswa'!A36</f>
        <v>29</v>
      </c>
      <c r="B37" s="159" t="str">
        <f>IF('Identitas Siswa'!D36=0,"",'Identitas Siswa'!D36)</f>
        <v/>
      </c>
      <c r="C37" s="160" t="str">
        <f>IFERROR(VLOOKUP(A37,AGAMA!$A$9:$AN$68,40,FALSE),"")</f>
        <v/>
      </c>
      <c r="D37" s="160" t="str">
        <f>IFERROR(VLOOKUP(A37,PANCASILA!$A$9:$AN$68,40,FALSE),"")</f>
        <v/>
      </c>
      <c r="E37" s="160" t="str">
        <f>IFERROR(VLOOKUP(A37,INDONESIA!$A$9:$AN$68,40,FALSE),"")</f>
        <v/>
      </c>
      <c r="F37" s="160" t="str">
        <f>IFERROR(VLOOKUP(A37,MATEMATIKA!$A$9:$AN$68,40,FALSE),"")</f>
        <v/>
      </c>
      <c r="G37" s="160" t="str">
        <f>IFERROR(VLOOKUP(A37,IPAS!$A$9:$AN$68,40,FALSE),"")</f>
        <v/>
      </c>
      <c r="H37" s="160" t="str">
        <f t="shared" ca="1" si="0"/>
        <v/>
      </c>
      <c r="I37" s="160" t="str">
        <f t="shared" ca="1" si="1"/>
        <v/>
      </c>
      <c r="J37" s="160" t="str">
        <f t="shared" ca="1" si="2"/>
        <v/>
      </c>
      <c r="K37" s="160" t="str">
        <f t="shared" ca="1" si="3"/>
        <v/>
      </c>
      <c r="L37" s="160" t="str">
        <f>IFERROR(VLOOKUP(A37,PJOK!$A$9:$AN$68,40,FALSE),"")</f>
        <v/>
      </c>
      <c r="M37" s="160" t="str">
        <f>IFERROR(VLOOKUP(A37,INGGRIS!$A$9:$AN$68,40,FALSE),"")</f>
        <v/>
      </c>
      <c r="N37" s="160" t="str">
        <f>IFERROR(VLOOKUP(A37,MULOK1!$A$9:$AN$68,40,FALSE),"")</f>
        <v/>
      </c>
      <c r="O37" s="160" t="str">
        <f>IFERROR(VLOOKUP(A37,MULOK2!$A$9:$AN$68,40,FALSE),"")</f>
        <v/>
      </c>
      <c r="P37" s="160" t="str">
        <f>IFERROR(VLOOKUP(A37,MULOK3!$A$9:$AN$68,40,FALSE),"")</f>
        <v/>
      </c>
      <c r="Q37" s="160" t="str">
        <f>IFERROR(VLOOKUP(A37,MULOK4!$A$9:$AN$68,40,FALSE),"")</f>
        <v/>
      </c>
      <c r="R37" s="160" t="str">
        <f>IFERROR(VLOOKUP(A37,MULOK5!$A$9:$AN$68,40,FALSE),"")</f>
        <v/>
      </c>
      <c r="S37" s="161"/>
      <c r="T37" s="162"/>
      <c r="U37" s="29" t="str">
        <f t="shared" si="5"/>
        <v/>
      </c>
      <c r="V37" s="90"/>
    </row>
    <row r="38" spans="1:22" hidden="1" x14ac:dyDescent="0.25">
      <c r="A38" s="159">
        <f>'Identitas Siswa'!A37</f>
        <v>30</v>
      </c>
      <c r="B38" s="159" t="str">
        <f>IF('Identitas Siswa'!D37=0,"",'Identitas Siswa'!D37)</f>
        <v/>
      </c>
      <c r="C38" s="160" t="str">
        <f>IFERROR(VLOOKUP(A38,AGAMA!$A$9:$AN$68,40,FALSE),"")</f>
        <v/>
      </c>
      <c r="D38" s="160" t="str">
        <f>IFERROR(VLOOKUP(A38,PANCASILA!$A$9:$AN$68,40,FALSE),"")</f>
        <v/>
      </c>
      <c r="E38" s="160" t="str">
        <f>IFERROR(VLOOKUP(A38,INDONESIA!$A$9:$AN$68,40,FALSE),"")</f>
        <v/>
      </c>
      <c r="F38" s="160" t="str">
        <f>IFERROR(VLOOKUP(A38,MATEMATIKA!$A$9:$AN$68,40,FALSE),"")</f>
        <v/>
      </c>
      <c r="G38" s="160" t="str">
        <f>IFERROR(VLOOKUP(A38,IPAS!$A$9:$AN$68,40,FALSE),"")</f>
        <v/>
      </c>
      <c r="H38" s="160" t="str">
        <f t="shared" ca="1" si="0"/>
        <v/>
      </c>
      <c r="I38" s="160" t="str">
        <f t="shared" ca="1" si="1"/>
        <v/>
      </c>
      <c r="J38" s="160" t="str">
        <f t="shared" ca="1" si="2"/>
        <v/>
      </c>
      <c r="K38" s="160" t="str">
        <f t="shared" ca="1" si="3"/>
        <v/>
      </c>
      <c r="L38" s="160" t="str">
        <f>IFERROR(VLOOKUP(A38,PJOK!$A$9:$AN$68,40,FALSE),"")</f>
        <v/>
      </c>
      <c r="M38" s="160" t="str">
        <f>IFERROR(VLOOKUP(A38,INGGRIS!$A$9:$AN$68,40,FALSE),"")</f>
        <v/>
      </c>
      <c r="N38" s="160" t="str">
        <f>IFERROR(VLOOKUP(A38,MULOK1!$A$9:$AN$68,40,FALSE),"")</f>
        <v/>
      </c>
      <c r="O38" s="160" t="str">
        <f>IFERROR(VLOOKUP(A38,MULOK2!$A$9:$AN$68,40,FALSE),"")</f>
        <v/>
      </c>
      <c r="P38" s="160" t="str">
        <f>IFERROR(VLOOKUP(A38,MULOK3!$A$9:$AN$68,40,FALSE),"")</f>
        <v/>
      </c>
      <c r="Q38" s="160" t="str">
        <f>IFERROR(VLOOKUP(A38,MULOK4!$A$9:$AN$68,40,FALSE),"")</f>
        <v/>
      </c>
      <c r="R38" s="160" t="str">
        <f>IFERROR(VLOOKUP(A38,MULOK5!$A$9:$AN$68,40,FALSE),"")</f>
        <v/>
      </c>
      <c r="S38" s="161"/>
      <c r="T38" s="162"/>
      <c r="U38" s="29" t="str">
        <f t="shared" si="5"/>
        <v/>
      </c>
      <c r="V38" s="90"/>
    </row>
    <row r="39" spans="1:22" hidden="1" x14ac:dyDescent="0.25">
      <c r="A39" s="159">
        <f>'Identitas Siswa'!A38</f>
        <v>31</v>
      </c>
      <c r="B39" s="159" t="str">
        <f>IF('Identitas Siswa'!D38=0,"",'Identitas Siswa'!D38)</f>
        <v/>
      </c>
      <c r="C39" s="160" t="str">
        <f>IFERROR(VLOOKUP(A39,AGAMA!$A$9:$AN$68,40,FALSE),"")</f>
        <v/>
      </c>
      <c r="D39" s="160" t="str">
        <f>IFERROR(VLOOKUP(A39,PANCASILA!$A$9:$AN$68,40,FALSE),"")</f>
        <v/>
      </c>
      <c r="E39" s="160" t="str">
        <f>IFERROR(VLOOKUP(A39,INDONESIA!$A$9:$AN$68,40,FALSE),"")</f>
        <v/>
      </c>
      <c r="F39" s="160" t="str">
        <f>IFERROR(VLOOKUP(A39,MATEMATIKA!$A$9:$AN$68,40,FALSE),"")</f>
        <v/>
      </c>
      <c r="G39" s="160" t="str">
        <f>IFERROR(VLOOKUP(A39,IPAS!$A$9:$AN$68,40,FALSE),"")</f>
        <v/>
      </c>
      <c r="H39" s="160" t="str">
        <f t="shared" ca="1" si="0"/>
        <v/>
      </c>
      <c r="I39" s="160" t="str">
        <f t="shared" ca="1" si="1"/>
        <v/>
      </c>
      <c r="J39" s="160" t="str">
        <f t="shared" ca="1" si="2"/>
        <v/>
      </c>
      <c r="K39" s="160" t="str">
        <f t="shared" ca="1" si="3"/>
        <v/>
      </c>
      <c r="L39" s="160" t="str">
        <f>IFERROR(VLOOKUP(A39,PJOK!$A$9:$AN$68,40,FALSE),"")</f>
        <v/>
      </c>
      <c r="M39" s="160" t="str">
        <f>IFERROR(VLOOKUP(A39,INGGRIS!$A$9:$AN$68,40,FALSE),"")</f>
        <v/>
      </c>
      <c r="N39" s="160" t="str">
        <f>IFERROR(VLOOKUP(A39,MULOK1!$A$9:$AN$68,40,FALSE),"")</f>
        <v/>
      </c>
      <c r="O39" s="160" t="str">
        <f>IFERROR(VLOOKUP(A39,MULOK2!$A$9:$AN$68,40,FALSE),"")</f>
        <v/>
      </c>
      <c r="P39" s="160" t="str">
        <f>IFERROR(VLOOKUP(A39,MULOK3!$A$9:$AN$68,40,FALSE),"")</f>
        <v/>
      </c>
      <c r="Q39" s="160" t="str">
        <f>IFERROR(VLOOKUP(A39,MULOK4!$A$9:$AN$68,40,FALSE),"")</f>
        <v/>
      </c>
      <c r="R39" s="160" t="str">
        <f>IFERROR(VLOOKUP(A39,MULOK5!$A$9:$AN$68,40,FALSE),"")</f>
        <v/>
      </c>
      <c r="S39" s="161"/>
      <c r="T39" s="162"/>
      <c r="U39" s="29" t="str">
        <f t="shared" si="5"/>
        <v/>
      </c>
      <c r="V39" s="90"/>
    </row>
    <row r="40" spans="1:22" hidden="1" x14ac:dyDescent="0.25">
      <c r="A40" s="159">
        <f>'Identitas Siswa'!A39</f>
        <v>32</v>
      </c>
      <c r="B40" s="159" t="str">
        <f>IF('Identitas Siswa'!D39=0,"",'Identitas Siswa'!D39)</f>
        <v/>
      </c>
      <c r="C40" s="160" t="str">
        <f>IFERROR(VLOOKUP(A40,AGAMA!$A$9:$AN$68,40,FALSE),"")</f>
        <v/>
      </c>
      <c r="D40" s="160" t="str">
        <f>IFERROR(VLOOKUP(A40,PANCASILA!$A$9:$AN$68,40,FALSE),"")</f>
        <v/>
      </c>
      <c r="E40" s="160" t="str">
        <f>IFERROR(VLOOKUP(A40,INDONESIA!$A$9:$AN$68,40,FALSE),"")</f>
        <v/>
      </c>
      <c r="F40" s="160" t="str">
        <f>IFERROR(VLOOKUP(A40,MATEMATIKA!$A$9:$AN$68,40,FALSE),"")</f>
        <v/>
      </c>
      <c r="G40" s="160" t="str">
        <f>IFERROR(VLOOKUP(A40,IPAS!$A$9:$AN$68,40,FALSE),"")</f>
        <v/>
      </c>
      <c r="H40" s="160" t="str">
        <f t="shared" ca="1" si="0"/>
        <v/>
      </c>
      <c r="I40" s="160" t="str">
        <f t="shared" ca="1" si="1"/>
        <v/>
      </c>
      <c r="J40" s="160" t="str">
        <f t="shared" ca="1" si="2"/>
        <v/>
      </c>
      <c r="K40" s="160" t="str">
        <f t="shared" ca="1" si="3"/>
        <v/>
      </c>
      <c r="L40" s="160" t="str">
        <f>IFERROR(VLOOKUP(A40,PJOK!$A$9:$AN$68,40,FALSE),"")</f>
        <v/>
      </c>
      <c r="M40" s="160" t="str">
        <f>IFERROR(VLOOKUP(A40,INGGRIS!$A$9:$AN$68,40,FALSE),"")</f>
        <v/>
      </c>
      <c r="N40" s="160" t="str">
        <f>IFERROR(VLOOKUP(A40,MULOK1!$A$9:$AN$68,40,FALSE),"")</f>
        <v/>
      </c>
      <c r="O40" s="160" t="str">
        <f>IFERROR(VLOOKUP(A40,MULOK2!$A$9:$AN$68,40,FALSE),"")</f>
        <v/>
      </c>
      <c r="P40" s="160" t="str">
        <f>IFERROR(VLOOKUP(A40,MULOK3!$A$9:$AN$68,40,FALSE),"")</f>
        <v/>
      </c>
      <c r="Q40" s="160" t="str">
        <f>IFERROR(VLOOKUP(A40,MULOK4!$A$9:$AN$68,40,FALSE),"")</f>
        <v/>
      </c>
      <c r="R40" s="160" t="str">
        <f>IFERROR(VLOOKUP(A40,MULOK5!$A$9:$AN$68,40,FALSE),"")</f>
        <v/>
      </c>
      <c r="S40" s="161"/>
      <c r="T40" s="162"/>
      <c r="U40" s="29" t="str">
        <f t="shared" si="5"/>
        <v/>
      </c>
      <c r="V40" s="90"/>
    </row>
    <row r="41" spans="1:22" hidden="1" x14ac:dyDescent="0.25">
      <c r="A41" s="159">
        <f>'Identitas Siswa'!A40</f>
        <v>33</v>
      </c>
      <c r="B41" s="159" t="str">
        <f>IF('Identitas Siswa'!D40=0,"",'Identitas Siswa'!D40)</f>
        <v/>
      </c>
      <c r="C41" s="160" t="str">
        <f>IFERROR(VLOOKUP(A41,AGAMA!$A$9:$AN$68,40,FALSE),"")</f>
        <v/>
      </c>
      <c r="D41" s="160" t="str">
        <f>IFERROR(VLOOKUP(A41,PANCASILA!$A$9:$AN$68,40,FALSE),"")</f>
        <v/>
      </c>
      <c r="E41" s="160" t="str">
        <f>IFERROR(VLOOKUP(A41,INDONESIA!$A$9:$AN$68,40,FALSE),"")</f>
        <v/>
      </c>
      <c r="F41" s="160" t="str">
        <f>IFERROR(VLOOKUP(A41,MATEMATIKA!$A$9:$AN$68,40,FALSE),"")</f>
        <v/>
      </c>
      <c r="G41" s="160" t="str">
        <f>IFERROR(VLOOKUP(A41,IPAS!$A$9:$AN$68,40,FALSE),"")</f>
        <v/>
      </c>
      <c r="H41" s="160" t="str">
        <f t="shared" ca="1" si="0"/>
        <v/>
      </c>
      <c r="I41" s="160" t="str">
        <f t="shared" ca="1" si="1"/>
        <v/>
      </c>
      <c r="J41" s="160" t="str">
        <f t="shared" ca="1" si="2"/>
        <v/>
      </c>
      <c r="K41" s="160" t="str">
        <f t="shared" ca="1" si="3"/>
        <v/>
      </c>
      <c r="L41" s="160" t="str">
        <f>IFERROR(VLOOKUP(A41,PJOK!$A$9:$AN$68,40,FALSE),"")</f>
        <v/>
      </c>
      <c r="M41" s="160" t="str">
        <f>IFERROR(VLOOKUP(A41,INGGRIS!$A$9:$AN$68,40,FALSE),"")</f>
        <v/>
      </c>
      <c r="N41" s="160" t="str">
        <f>IFERROR(VLOOKUP(A41,MULOK1!$A$9:$AN$68,40,FALSE),"")</f>
        <v/>
      </c>
      <c r="O41" s="160" t="str">
        <f>IFERROR(VLOOKUP(A41,MULOK2!$A$9:$AN$68,40,FALSE),"")</f>
        <v/>
      </c>
      <c r="P41" s="160" t="str">
        <f>IFERROR(VLOOKUP(A41,MULOK3!$A$9:$AN$68,40,FALSE),"")</f>
        <v/>
      </c>
      <c r="Q41" s="160" t="str">
        <f>IFERROR(VLOOKUP(A41,MULOK4!$A$9:$AN$68,40,FALSE),"")</f>
        <v/>
      </c>
      <c r="R41" s="160" t="str">
        <f>IFERROR(VLOOKUP(A41,MULOK5!$A$9:$AN$68,40,FALSE),"")</f>
        <v/>
      </c>
      <c r="S41" s="161"/>
      <c r="T41" s="162"/>
      <c r="U41" s="29" t="str">
        <f t="shared" si="5"/>
        <v/>
      </c>
      <c r="V41" s="90"/>
    </row>
    <row r="42" spans="1:22" hidden="1" x14ac:dyDescent="0.25">
      <c r="A42" s="159">
        <f>'Identitas Siswa'!A41</f>
        <v>34</v>
      </c>
      <c r="B42" s="159" t="str">
        <f>IF('Identitas Siswa'!D41=0,"",'Identitas Siswa'!D41)</f>
        <v/>
      </c>
      <c r="C42" s="160" t="str">
        <f>IFERROR(VLOOKUP(A42,AGAMA!$A$9:$AN$68,40,FALSE),"")</f>
        <v/>
      </c>
      <c r="D42" s="160" t="str">
        <f>IFERROR(VLOOKUP(A42,PANCASILA!$A$9:$AN$68,40,FALSE),"")</f>
        <v/>
      </c>
      <c r="E42" s="160" t="str">
        <f>IFERROR(VLOOKUP(A42,INDONESIA!$A$9:$AN$68,40,FALSE),"")</f>
        <v/>
      </c>
      <c r="F42" s="160" t="str">
        <f>IFERROR(VLOOKUP(A42,MATEMATIKA!$A$9:$AN$68,40,FALSE),"")</f>
        <v/>
      </c>
      <c r="G42" s="160" t="str">
        <f>IFERROR(VLOOKUP(A42,IPAS!$A$9:$AN$68,40,FALSE),"")</f>
        <v/>
      </c>
      <c r="H42" s="160" t="str">
        <f t="shared" ca="1" si="0"/>
        <v/>
      </c>
      <c r="I42" s="160" t="str">
        <f t="shared" ca="1" si="1"/>
        <v/>
      </c>
      <c r="J42" s="160" t="str">
        <f t="shared" ca="1" si="2"/>
        <v/>
      </c>
      <c r="K42" s="160" t="str">
        <f t="shared" ca="1" si="3"/>
        <v/>
      </c>
      <c r="L42" s="160" t="str">
        <f>IFERROR(VLOOKUP(A42,PJOK!$A$9:$AN$68,40,FALSE),"")</f>
        <v/>
      </c>
      <c r="M42" s="160" t="str">
        <f>IFERROR(VLOOKUP(A42,INGGRIS!$A$9:$AN$68,40,FALSE),"")</f>
        <v/>
      </c>
      <c r="N42" s="160" t="str">
        <f>IFERROR(VLOOKUP(A42,MULOK1!$A$9:$AN$68,40,FALSE),"")</f>
        <v/>
      </c>
      <c r="O42" s="160" t="str">
        <f>IFERROR(VLOOKUP(A42,MULOK2!$A$9:$AN$68,40,FALSE),"")</f>
        <v/>
      </c>
      <c r="P42" s="160" t="str">
        <f>IFERROR(VLOOKUP(A42,MULOK3!$A$9:$AN$68,40,FALSE),"")</f>
        <v/>
      </c>
      <c r="Q42" s="160" t="str">
        <f>IFERROR(VLOOKUP(A42,MULOK4!$A$9:$AN$68,40,FALSE),"")</f>
        <v/>
      </c>
      <c r="R42" s="160" t="str">
        <f>IFERROR(VLOOKUP(A42,MULOK5!$A$9:$AN$68,40,FALSE),"")</f>
        <v/>
      </c>
      <c r="S42" s="161"/>
      <c r="T42" s="162"/>
      <c r="U42" s="29" t="str">
        <f t="shared" si="5"/>
        <v/>
      </c>
      <c r="V42" s="90"/>
    </row>
    <row r="43" spans="1:22" hidden="1" x14ac:dyDescent="0.25">
      <c r="A43" s="159">
        <f>'Identitas Siswa'!A42</f>
        <v>35</v>
      </c>
      <c r="B43" s="159" t="str">
        <f>IF('Identitas Siswa'!D42=0,"",'Identitas Siswa'!D42)</f>
        <v/>
      </c>
      <c r="C43" s="160" t="str">
        <f>IFERROR(VLOOKUP(A43,AGAMA!$A$9:$AN$68,40,FALSE),"")</f>
        <v/>
      </c>
      <c r="D43" s="160" t="str">
        <f>IFERROR(VLOOKUP(A43,PANCASILA!$A$9:$AN$68,40,FALSE),"")</f>
        <v/>
      </c>
      <c r="E43" s="160" t="str">
        <f>IFERROR(VLOOKUP(A43,INDONESIA!$A$9:$AN$68,40,FALSE),"")</f>
        <v/>
      </c>
      <c r="F43" s="160" t="str">
        <f>IFERROR(VLOOKUP(A43,MATEMATIKA!$A$9:$AN$68,40,FALSE),"")</f>
        <v/>
      </c>
      <c r="G43" s="160" t="str">
        <f>IFERROR(VLOOKUP(A43,IPAS!$A$9:$AN$68,40,FALSE),"")</f>
        <v/>
      </c>
      <c r="H43" s="160" t="str">
        <f t="shared" ca="1" si="0"/>
        <v/>
      </c>
      <c r="I43" s="160" t="str">
        <f t="shared" ca="1" si="1"/>
        <v/>
      </c>
      <c r="J43" s="160" t="str">
        <f t="shared" ca="1" si="2"/>
        <v/>
      </c>
      <c r="K43" s="160" t="str">
        <f t="shared" ca="1" si="3"/>
        <v/>
      </c>
      <c r="L43" s="160" t="str">
        <f>IFERROR(VLOOKUP(A43,PJOK!$A$9:$AN$68,40,FALSE),"")</f>
        <v/>
      </c>
      <c r="M43" s="160" t="str">
        <f>IFERROR(VLOOKUP(A43,INGGRIS!$A$9:$AN$68,40,FALSE),"")</f>
        <v/>
      </c>
      <c r="N43" s="160" t="str">
        <f>IFERROR(VLOOKUP(A43,MULOK1!$A$9:$AN$68,40,FALSE),"")</f>
        <v/>
      </c>
      <c r="O43" s="160" t="str">
        <f>IFERROR(VLOOKUP(A43,MULOK2!$A$9:$AN$68,40,FALSE),"")</f>
        <v/>
      </c>
      <c r="P43" s="160" t="str">
        <f>IFERROR(VLOOKUP(A43,MULOK3!$A$9:$AN$68,40,FALSE),"")</f>
        <v/>
      </c>
      <c r="Q43" s="160" t="str">
        <f>IFERROR(VLOOKUP(A43,MULOK4!$A$9:$AN$68,40,FALSE),"")</f>
        <v/>
      </c>
      <c r="R43" s="160" t="str">
        <f>IFERROR(VLOOKUP(A43,MULOK5!$A$9:$AN$68,40,FALSE),"")</f>
        <v/>
      </c>
      <c r="S43" s="161"/>
      <c r="T43" s="162"/>
      <c r="U43" s="29" t="str">
        <f t="shared" si="5"/>
        <v/>
      </c>
      <c r="V43" s="90"/>
    </row>
    <row r="44" spans="1:22" hidden="1" x14ac:dyDescent="0.25">
      <c r="A44" s="159">
        <f>'Identitas Siswa'!A43</f>
        <v>36</v>
      </c>
      <c r="B44" s="159" t="str">
        <f>IF('Identitas Siswa'!D43=0,"",'Identitas Siswa'!D43)</f>
        <v/>
      </c>
      <c r="C44" s="160" t="str">
        <f>IFERROR(VLOOKUP(A44,AGAMA!$A$9:$AN$68,40,FALSE),"")</f>
        <v/>
      </c>
      <c r="D44" s="160" t="str">
        <f>IFERROR(VLOOKUP(A44,PANCASILA!$A$9:$AN$68,40,FALSE),"")</f>
        <v/>
      </c>
      <c r="E44" s="160" t="str">
        <f>IFERROR(VLOOKUP(A44,INDONESIA!$A$9:$AN$68,40,FALSE),"")</f>
        <v/>
      </c>
      <c r="F44" s="160" t="str">
        <f>IFERROR(VLOOKUP(A44,MATEMATIKA!$A$9:$AN$68,40,FALSE),"")</f>
        <v/>
      </c>
      <c r="G44" s="160" t="str">
        <f>IFERROR(VLOOKUP(A44,IPAS!$A$9:$AN$68,40,FALSE),"")</f>
        <v/>
      </c>
      <c r="H44" s="160" t="str">
        <f t="shared" ca="1" si="0"/>
        <v/>
      </c>
      <c r="I44" s="160" t="str">
        <f t="shared" ca="1" si="1"/>
        <v/>
      </c>
      <c r="J44" s="160" t="str">
        <f t="shared" ca="1" si="2"/>
        <v/>
      </c>
      <c r="K44" s="160" t="str">
        <f t="shared" ca="1" si="3"/>
        <v/>
      </c>
      <c r="L44" s="160" t="str">
        <f>IFERROR(VLOOKUP(A44,PJOK!$A$9:$AN$68,40,FALSE),"")</f>
        <v/>
      </c>
      <c r="M44" s="160" t="str">
        <f>IFERROR(VLOOKUP(A44,INGGRIS!$A$9:$AN$68,40,FALSE),"")</f>
        <v/>
      </c>
      <c r="N44" s="160" t="str">
        <f>IFERROR(VLOOKUP(A44,MULOK1!$A$9:$AN$68,40,FALSE),"")</f>
        <v/>
      </c>
      <c r="O44" s="160" t="str">
        <f>IFERROR(VLOOKUP(A44,MULOK2!$A$9:$AN$68,40,FALSE),"")</f>
        <v/>
      </c>
      <c r="P44" s="160" t="str">
        <f>IFERROR(VLOOKUP(A44,MULOK3!$A$9:$AN$68,40,FALSE),"")</f>
        <v/>
      </c>
      <c r="Q44" s="160" t="str">
        <f>IFERROR(VLOOKUP(A44,MULOK4!$A$9:$AN$68,40,FALSE),"")</f>
        <v/>
      </c>
      <c r="R44" s="160" t="str">
        <f>IFERROR(VLOOKUP(A44,MULOK5!$A$9:$AN$68,40,FALSE),"")</f>
        <v/>
      </c>
      <c r="S44" s="161"/>
      <c r="T44" s="162"/>
      <c r="U44" s="29" t="str">
        <f t="shared" si="5"/>
        <v/>
      </c>
      <c r="V44" s="90"/>
    </row>
    <row r="45" spans="1:22" hidden="1" x14ac:dyDescent="0.25">
      <c r="A45" s="159">
        <f>'Identitas Siswa'!A44</f>
        <v>37</v>
      </c>
      <c r="B45" s="159" t="str">
        <f>IF('Identitas Siswa'!D44=0,"",'Identitas Siswa'!D44)</f>
        <v/>
      </c>
      <c r="C45" s="160" t="str">
        <f>IFERROR(VLOOKUP(A45,AGAMA!$A$9:$AN$68,40,FALSE),"")</f>
        <v/>
      </c>
      <c r="D45" s="160" t="str">
        <f>IFERROR(VLOOKUP(A45,PANCASILA!$A$9:$AN$68,40,FALSE),"")</f>
        <v/>
      </c>
      <c r="E45" s="160" t="str">
        <f>IFERROR(VLOOKUP(A45,INDONESIA!$A$9:$AN$68,40,FALSE),"")</f>
        <v/>
      </c>
      <c r="F45" s="160" t="str">
        <f>IFERROR(VLOOKUP(A45,MATEMATIKA!$A$9:$AN$68,40,FALSE),"")</f>
        <v/>
      </c>
      <c r="G45" s="160" t="str">
        <f>IFERROR(VLOOKUP(A45,IPAS!$A$9:$AN$68,40,FALSE),"")</f>
        <v/>
      </c>
      <c r="H45" s="160" t="str">
        <f t="shared" ca="1" si="0"/>
        <v/>
      </c>
      <c r="I45" s="160" t="str">
        <f t="shared" ca="1" si="1"/>
        <v/>
      </c>
      <c r="J45" s="160" t="str">
        <f t="shared" ca="1" si="2"/>
        <v/>
      </c>
      <c r="K45" s="160" t="str">
        <f t="shared" ca="1" si="3"/>
        <v/>
      </c>
      <c r="L45" s="160" t="str">
        <f>IFERROR(VLOOKUP(A45,PJOK!$A$9:$AN$68,40,FALSE),"")</f>
        <v/>
      </c>
      <c r="M45" s="160" t="str">
        <f>IFERROR(VLOOKUP(A45,INGGRIS!$A$9:$AN$68,40,FALSE),"")</f>
        <v/>
      </c>
      <c r="N45" s="160" t="str">
        <f>IFERROR(VLOOKUP(A45,MULOK1!$A$9:$AN$68,40,FALSE),"")</f>
        <v/>
      </c>
      <c r="O45" s="160" t="str">
        <f>IFERROR(VLOOKUP(A45,MULOK2!$A$9:$AN$68,40,FALSE),"")</f>
        <v/>
      </c>
      <c r="P45" s="160" t="str">
        <f>IFERROR(VLOOKUP(A45,MULOK3!$A$9:$AN$68,40,FALSE),"")</f>
        <v/>
      </c>
      <c r="Q45" s="160" t="str">
        <f>IFERROR(VLOOKUP(A45,MULOK4!$A$9:$AN$68,40,FALSE),"")</f>
        <v/>
      </c>
      <c r="R45" s="160" t="str">
        <f>IFERROR(VLOOKUP(A45,MULOK5!$A$9:$AN$68,40,FALSE),"")</f>
        <v/>
      </c>
      <c r="S45" s="161"/>
      <c r="T45" s="162"/>
      <c r="U45" s="29" t="str">
        <f t="shared" si="5"/>
        <v/>
      </c>
      <c r="V45" s="90"/>
    </row>
    <row r="46" spans="1:22" hidden="1" x14ac:dyDescent="0.25">
      <c r="A46" s="159">
        <f>'Identitas Siswa'!A45</f>
        <v>38</v>
      </c>
      <c r="B46" s="159" t="str">
        <f>IF('Identitas Siswa'!D45=0,"",'Identitas Siswa'!D45)</f>
        <v/>
      </c>
      <c r="C46" s="160" t="str">
        <f>IFERROR(VLOOKUP(A46,AGAMA!$A$9:$AN$68,40,FALSE),"")</f>
        <v/>
      </c>
      <c r="D46" s="160" t="str">
        <f>IFERROR(VLOOKUP(A46,PANCASILA!$A$9:$AN$68,40,FALSE),"")</f>
        <v/>
      </c>
      <c r="E46" s="160" t="str">
        <f>IFERROR(VLOOKUP(A46,INDONESIA!$A$9:$AN$68,40,FALSE),"")</f>
        <v/>
      </c>
      <c r="F46" s="160" t="str">
        <f>IFERROR(VLOOKUP(A46,MATEMATIKA!$A$9:$AN$68,40,FALSE),"")</f>
        <v/>
      </c>
      <c r="G46" s="160" t="str">
        <f>IFERROR(VLOOKUP(A46,IPAS!$A$9:$AN$68,40,FALSE),"")</f>
        <v/>
      </c>
      <c r="H46" s="160" t="str">
        <f t="shared" ca="1" si="0"/>
        <v/>
      </c>
      <c r="I46" s="160" t="str">
        <f t="shared" ca="1" si="1"/>
        <v/>
      </c>
      <c r="J46" s="160" t="str">
        <f t="shared" ca="1" si="2"/>
        <v/>
      </c>
      <c r="K46" s="160" t="str">
        <f t="shared" ca="1" si="3"/>
        <v/>
      </c>
      <c r="L46" s="160" t="str">
        <f>IFERROR(VLOOKUP(A46,PJOK!$A$9:$AN$68,40,FALSE),"")</f>
        <v/>
      </c>
      <c r="M46" s="160" t="str">
        <f>IFERROR(VLOOKUP(A46,INGGRIS!$A$9:$AN$68,40,FALSE),"")</f>
        <v/>
      </c>
      <c r="N46" s="160" t="str">
        <f>IFERROR(VLOOKUP(A46,MULOK1!$A$9:$AN$68,40,FALSE),"")</f>
        <v/>
      </c>
      <c r="O46" s="160" t="str">
        <f>IFERROR(VLOOKUP(A46,MULOK2!$A$9:$AN$68,40,FALSE),"")</f>
        <v/>
      </c>
      <c r="P46" s="160" t="str">
        <f>IFERROR(VLOOKUP(A46,MULOK3!$A$9:$AN$68,40,FALSE),"")</f>
        <v/>
      </c>
      <c r="Q46" s="160" t="str">
        <f>IFERROR(VLOOKUP(A46,MULOK4!$A$9:$AN$68,40,FALSE),"")</f>
        <v/>
      </c>
      <c r="R46" s="160" t="str">
        <f>IFERROR(VLOOKUP(A46,MULOK5!$A$9:$AN$68,40,FALSE),"")</f>
        <v/>
      </c>
      <c r="S46" s="161"/>
      <c r="T46" s="162"/>
      <c r="U46" s="29" t="str">
        <f t="shared" si="5"/>
        <v/>
      </c>
      <c r="V46" s="90"/>
    </row>
    <row r="47" spans="1:22" hidden="1" x14ac:dyDescent="0.25">
      <c r="A47" s="159">
        <f>'Identitas Siswa'!A46</f>
        <v>39</v>
      </c>
      <c r="B47" s="159" t="str">
        <f>IF('Identitas Siswa'!D46=0,"",'Identitas Siswa'!D46)</f>
        <v/>
      </c>
      <c r="C47" s="160" t="str">
        <f>IFERROR(VLOOKUP(A47,AGAMA!$A$9:$AN$68,40,FALSE),"")</f>
        <v/>
      </c>
      <c r="D47" s="160" t="str">
        <f>IFERROR(VLOOKUP(A47,PANCASILA!$A$9:$AN$68,40,FALSE),"")</f>
        <v/>
      </c>
      <c r="E47" s="160" t="str">
        <f>IFERROR(VLOOKUP(A47,INDONESIA!$A$9:$AN$68,40,FALSE),"")</f>
        <v/>
      </c>
      <c r="F47" s="160" t="str">
        <f>IFERROR(VLOOKUP(A47,MATEMATIKA!$A$9:$AN$68,40,FALSE),"")</f>
        <v/>
      </c>
      <c r="G47" s="160" t="str">
        <f>IFERROR(VLOOKUP(A47,IPAS!$A$9:$AN$68,40,FALSE),"")</f>
        <v/>
      </c>
      <c r="H47" s="160" t="str">
        <f t="shared" ca="1" si="0"/>
        <v/>
      </c>
      <c r="I47" s="160" t="str">
        <f t="shared" ca="1" si="1"/>
        <v/>
      </c>
      <c r="J47" s="160" t="str">
        <f t="shared" ca="1" si="2"/>
        <v/>
      </c>
      <c r="K47" s="160" t="str">
        <f t="shared" ca="1" si="3"/>
        <v/>
      </c>
      <c r="L47" s="160" t="str">
        <f>IFERROR(VLOOKUP(A47,PJOK!$A$9:$AN$68,40,FALSE),"")</f>
        <v/>
      </c>
      <c r="M47" s="160" t="str">
        <f>IFERROR(VLOOKUP(A47,INGGRIS!$A$9:$AN$68,40,FALSE),"")</f>
        <v/>
      </c>
      <c r="N47" s="160" t="str">
        <f>IFERROR(VLOOKUP(A47,MULOK1!$A$9:$AN$68,40,FALSE),"")</f>
        <v/>
      </c>
      <c r="O47" s="160" t="str">
        <f>IFERROR(VLOOKUP(A47,MULOK2!$A$9:$AN$68,40,FALSE),"")</f>
        <v/>
      </c>
      <c r="P47" s="160" t="str">
        <f>IFERROR(VLOOKUP(A47,MULOK3!$A$9:$AN$68,40,FALSE),"")</f>
        <v/>
      </c>
      <c r="Q47" s="160" t="str">
        <f>IFERROR(VLOOKUP(A47,MULOK4!$A$9:$AN$68,40,FALSE),"")</f>
        <v/>
      </c>
      <c r="R47" s="160" t="str">
        <f>IFERROR(VLOOKUP(A47,MULOK5!$A$9:$AN$68,40,FALSE),"")</f>
        <v/>
      </c>
      <c r="S47" s="161"/>
      <c r="T47" s="162"/>
      <c r="U47" s="29" t="str">
        <f t="shared" si="5"/>
        <v/>
      </c>
      <c r="V47" s="90"/>
    </row>
    <row r="48" spans="1:22" hidden="1" x14ac:dyDescent="0.25">
      <c r="A48" s="159">
        <f>'Identitas Siswa'!A47</f>
        <v>40</v>
      </c>
      <c r="B48" s="159" t="str">
        <f>IF('Identitas Siswa'!D47=0,"",'Identitas Siswa'!D47)</f>
        <v/>
      </c>
      <c r="C48" s="160" t="str">
        <f>IFERROR(VLOOKUP(A48,AGAMA!$A$9:$AN$68,40,FALSE),"")</f>
        <v/>
      </c>
      <c r="D48" s="160" t="str">
        <f>IFERROR(VLOOKUP(A48,PANCASILA!$A$9:$AN$68,40,FALSE),"")</f>
        <v/>
      </c>
      <c r="E48" s="160" t="str">
        <f>IFERROR(VLOOKUP(A48,INDONESIA!$A$9:$AN$68,40,FALSE),"")</f>
        <v/>
      </c>
      <c r="F48" s="160" t="str">
        <f>IFERROR(VLOOKUP(A48,MATEMATIKA!$A$9:$AN$68,40,FALSE),"")</f>
        <v/>
      </c>
      <c r="G48" s="160" t="str">
        <f>IFERROR(VLOOKUP(A48,IPAS!$A$9:$AN$68,40,FALSE),"")</f>
        <v/>
      </c>
      <c r="H48" s="160" t="str">
        <f t="shared" ca="1" si="0"/>
        <v/>
      </c>
      <c r="I48" s="160" t="str">
        <f t="shared" ca="1" si="1"/>
        <v/>
      </c>
      <c r="J48" s="160" t="str">
        <f t="shared" ca="1" si="2"/>
        <v/>
      </c>
      <c r="K48" s="160" t="str">
        <f t="shared" ca="1" si="3"/>
        <v/>
      </c>
      <c r="L48" s="160" t="str">
        <f>IFERROR(VLOOKUP(A48,PJOK!$A$9:$AN$68,40,FALSE),"")</f>
        <v/>
      </c>
      <c r="M48" s="160" t="str">
        <f>IFERROR(VLOOKUP(A48,INGGRIS!$A$9:$AN$68,40,FALSE),"")</f>
        <v/>
      </c>
      <c r="N48" s="160" t="str">
        <f>IFERROR(VLOOKUP(A48,MULOK1!$A$9:$AN$68,40,FALSE),"")</f>
        <v/>
      </c>
      <c r="O48" s="160" t="str">
        <f>IFERROR(VLOOKUP(A48,MULOK2!$A$9:$AN$68,40,FALSE),"")</f>
        <v/>
      </c>
      <c r="P48" s="160" t="str">
        <f>IFERROR(VLOOKUP(A48,MULOK3!$A$9:$AN$68,40,FALSE),"")</f>
        <v/>
      </c>
      <c r="Q48" s="160" t="str">
        <f>IFERROR(VLOOKUP(A48,MULOK4!$A$9:$AN$68,40,FALSE),"")</f>
        <v/>
      </c>
      <c r="R48" s="160" t="str">
        <f>IFERROR(VLOOKUP(A48,MULOK5!$A$9:$AN$68,40,FALSE),"")</f>
        <v/>
      </c>
      <c r="S48" s="161"/>
      <c r="T48" s="162"/>
      <c r="U48" s="29" t="str">
        <f t="shared" si="5"/>
        <v/>
      </c>
      <c r="V48" s="90"/>
    </row>
    <row r="49" spans="1:22" hidden="1" x14ac:dyDescent="0.25">
      <c r="A49" s="159">
        <f>'Identitas Siswa'!A48</f>
        <v>41</v>
      </c>
      <c r="B49" s="159" t="str">
        <f>IF('Identitas Siswa'!D48=0,"",'Identitas Siswa'!D48)</f>
        <v/>
      </c>
      <c r="C49" s="160" t="str">
        <f>IFERROR(VLOOKUP(A49,AGAMA!$A$9:$AN$68,40,FALSE),"")</f>
        <v/>
      </c>
      <c r="D49" s="160" t="str">
        <f>IFERROR(VLOOKUP(A49,PANCASILA!$A$9:$AN$68,40,FALSE),"")</f>
        <v/>
      </c>
      <c r="E49" s="160" t="str">
        <f>IFERROR(VLOOKUP(A49,INDONESIA!$A$9:$AN$68,40,FALSE),"")</f>
        <v/>
      </c>
      <c r="F49" s="160" t="str">
        <f>IFERROR(VLOOKUP(A49,MATEMATIKA!$A$9:$AN$68,40,FALSE),"")</f>
        <v/>
      </c>
      <c r="G49" s="160" t="str">
        <f>IFERROR(VLOOKUP(A49,IPAS!$A$9:$AN$68,40,FALSE),"")</f>
        <v/>
      </c>
      <c r="H49" s="160" t="str">
        <f t="shared" ca="1" si="0"/>
        <v/>
      </c>
      <c r="I49" s="160" t="str">
        <f t="shared" ca="1" si="1"/>
        <v/>
      </c>
      <c r="J49" s="160" t="str">
        <f t="shared" ca="1" si="2"/>
        <v/>
      </c>
      <c r="K49" s="160" t="str">
        <f t="shared" ca="1" si="3"/>
        <v/>
      </c>
      <c r="L49" s="160" t="str">
        <f>IFERROR(VLOOKUP(A49,PJOK!$A$9:$AN$68,40,FALSE),"")</f>
        <v/>
      </c>
      <c r="M49" s="160" t="str">
        <f>IFERROR(VLOOKUP(A49,INGGRIS!$A$9:$AN$68,40,FALSE),"")</f>
        <v/>
      </c>
      <c r="N49" s="160" t="str">
        <f>IFERROR(VLOOKUP(A49,MULOK1!$A$9:$AN$68,40,FALSE),"")</f>
        <v/>
      </c>
      <c r="O49" s="160" t="str">
        <f>IFERROR(VLOOKUP(A49,MULOK2!$A$9:$AN$68,40,FALSE),"")</f>
        <v/>
      </c>
      <c r="P49" s="160" t="str">
        <f>IFERROR(VLOOKUP(A49,MULOK3!$A$9:$AN$68,40,FALSE),"")</f>
        <v/>
      </c>
      <c r="Q49" s="160" t="str">
        <f>IFERROR(VLOOKUP(A49,MULOK4!$A$9:$AN$68,40,FALSE),"")</f>
        <v/>
      </c>
      <c r="R49" s="160" t="str">
        <f>IFERROR(VLOOKUP(A49,MULOK5!$A$9:$AN$68,40,FALSE),"")</f>
        <v/>
      </c>
      <c r="S49" s="161"/>
      <c r="T49" s="162"/>
      <c r="U49" s="29" t="str">
        <f t="shared" si="5"/>
        <v/>
      </c>
      <c r="V49" s="90"/>
    </row>
    <row r="50" spans="1:22" hidden="1" x14ac:dyDescent="0.25">
      <c r="A50" s="159">
        <f>'Identitas Siswa'!A49</f>
        <v>42</v>
      </c>
      <c r="B50" s="159" t="str">
        <f>IF('Identitas Siswa'!D49=0,"",'Identitas Siswa'!D49)</f>
        <v/>
      </c>
      <c r="C50" s="160" t="str">
        <f>IFERROR(VLOOKUP(A50,AGAMA!$A$9:$AN$68,40,FALSE),"")</f>
        <v/>
      </c>
      <c r="D50" s="160" t="str">
        <f>IFERROR(VLOOKUP(A50,PANCASILA!$A$9:$AN$68,40,FALSE),"")</f>
        <v/>
      </c>
      <c r="E50" s="160" t="str">
        <f>IFERROR(VLOOKUP(A50,INDONESIA!$A$9:$AN$68,40,FALSE),"")</f>
        <v/>
      </c>
      <c r="F50" s="160" t="str">
        <f>IFERROR(VLOOKUP(A50,MATEMATIKA!$A$9:$AN$68,40,FALSE),"")</f>
        <v/>
      </c>
      <c r="G50" s="160" t="str">
        <f>IFERROR(VLOOKUP(A50,IPAS!$A$9:$AN$68,40,FALSE),"")</f>
        <v/>
      </c>
      <c r="H50" s="160" t="str">
        <f t="shared" ca="1" si="0"/>
        <v/>
      </c>
      <c r="I50" s="160" t="str">
        <f t="shared" ca="1" si="1"/>
        <v/>
      </c>
      <c r="J50" s="160" t="str">
        <f t="shared" ca="1" si="2"/>
        <v/>
      </c>
      <c r="K50" s="160" t="str">
        <f t="shared" ca="1" si="3"/>
        <v/>
      </c>
      <c r="L50" s="160" t="str">
        <f>IFERROR(VLOOKUP(A50,PJOK!$A$9:$AN$68,40,FALSE),"")</f>
        <v/>
      </c>
      <c r="M50" s="160" t="str">
        <f>IFERROR(VLOOKUP(A50,INGGRIS!$A$9:$AN$68,40,FALSE),"")</f>
        <v/>
      </c>
      <c r="N50" s="160" t="str">
        <f>IFERROR(VLOOKUP(A50,MULOK1!$A$9:$AN$68,40,FALSE),"")</f>
        <v/>
      </c>
      <c r="O50" s="160" t="str">
        <f>IFERROR(VLOOKUP(A50,MULOK2!$A$9:$AN$68,40,FALSE),"")</f>
        <v/>
      </c>
      <c r="P50" s="160" t="str">
        <f>IFERROR(VLOOKUP(A50,MULOK3!$A$9:$AN$68,40,FALSE),"")</f>
        <v/>
      </c>
      <c r="Q50" s="160" t="str">
        <f>IFERROR(VLOOKUP(A50,MULOK4!$A$9:$AN$68,40,FALSE),"")</f>
        <v/>
      </c>
      <c r="R50" s="160" t="str">
        <f>IFERROR(VLOOKUP(A50,MULOK5!$A$9:$AN$68,40,FALSE),"")</f>
        <v/>
      </c>
      <c r="S50" s="161"/>
      <c r="T50" s="162"/>
      <c r="U50" s="29" t="str">
        <f t="shared" si="5"/>
        <v/>
      </c>
      <c r="V50" s="90"/>
    </row>
    <row r="51" spans="1:22" hidden="1" x14ac:dyDescent="0.25">
      <c r="A51" s="159">
        <f>'Identitas Siswa'!A50</f>
        <v>43</v>
      </c>
      <c r="B51" s="159" t="str">
        <f>IF('Identitas Siswa'!D50=0,"",'Identitas Siswa'!D50)</f>
        <v/>
      </c>
      <c r="C51" s="160" t="str">
        <f>IFERROR(VLOOKUP(A51,AGAMA!$A$9:$AN$68,40,FALSE),"")</f>
        <v/>
      </c>
      <c r="D51" s="160" t="str">
        <f>IFERROR(VLOOKUP(A51,PANCASILA!$A$9:$AN$68,40,FALSE),"")</f>
        <v/>
      </c>
      <c r="E51" s="160" t="str">
        <f>IFERROR(VLOOKUP(A51,INDONESIA!$A$9:$AN$68,40,FALSE),"")</f>
        <v/>
      </c>
      <c r="F51" s="160" t="str">
        <f>IFERROR(VLOOKUP(A51,MATEMATIKA!$A$9:$AN$68,40,FALSE),"")</f>
        <v/>
      </c>
      <c r="G51" s="160" t="str">
        <f>IFERROR(VLOOKUP(A51,IPAS!$A$9:$AN$68,40,FALSE),"")</f>
        <v/>
      </c>
      <c r="H51" s="160" t="str">
        <f t="shared" ca="1" si="0"/>
        <v/>
      </c>
      <c r="I51" s="160" t="str">
        <f t="shared" ca="1" si="1"/>
        <v/>
      </c>
      <c r="J51" s="160" t="str">
        <f t="shared" ca="1" si="2"/>
        <v/>
      </c>
      <c r="K51" s="160" t="str">
        <f t="shared" ca="1" si="3"/>
        <v/>
      </c>
      <c r="L51" s="160" t="str">
        <f>IFERROR(VLOOKUP(A51,PJOK!$A$9:$AN$68,40,FALSE),"")</f>
        <v/>
      </c>
      <c r="M51" s="160" t="str">
        <f>IFERROR(VLOOKUP(A51,INGGRIS!$A$9:$AN$68,40,FALSE),"")</f>
        <v/>
      </c>
      <c r="N51" s="160" t="str">
        <f>IFERROR(VLOOKUP(A51,MULOK1!$A$9:$AN$68,40,FALSE),"")</f>
        <v/>
      </c>
      <c r="O51" s="160" t="str">
        <f>IFERROR(VLOOKUP(A51,MULOK2!$A$9:$AN$68,40,FALSE),"")</f>
        <v/>
      </c>
      <c r="P51" s="160" t="str">
        <f>IFERROR(VLOOKUP(A51,MULOK3!$A$9:$AN$68,40,FALSE),"")</f>
        <v/>
      </c>
      <c r="Q51" s="160" t="str">
        <f>IFERROR(VLOOKUP(A51,MULOK4!$A$9:$AN$68,40,FALSE),"")</f>
        <v/>
      </c>
      <c r="R51" s="160" t="str">
        <f>IFERROR(VLOOKUP(A51,MULOK5!$A$9:$AN$68,40,FALSE),"")</f>
        <v/>
      </c>
      <c r="S51" s="161"/>
      <c r="T51" s="162"/>
      <c r="U51" s="29" t="str">
        <f t="shared" si="5"/>
        <v/>
      </c>
      <c r="V51" s="90"/>
    </row>
    <row r="52" spans="1:22" hidden="1" x14ac:dyDescent="0.25">
      <c r="A52" s="159">
        <f>'Identitas Siswa'!A51</f>
        <v>44</v>
      </c>
      <c r="B52" s="159" t="str">
        <f>IF('Identitas Siswa'!D51=0,"",'Identitas Siswa'!D51)</f>
        <v/>
      </c>
      <c r="C52" s="160" t="str">
        <f>IFERROR(VLOOKUP(A52,AGAMA!$A$9:$AN$68,40,FALSE),"")</f>
        <v/>
      </c>
      <c r="D52" s="160" t="str">
        <f>IFERROR(VLOOKUP(A52,PANCASILA!$A$9:$AN$68,40,FALSE),"")</f>
        <v/>
      </c>
      <c r="E52" s="160" t="str">
        <f>IFERROR(VLOOKUP(A52,INDONESIA!$A$9:$AN$68,40,FALSE),"")</f>
        <v/>
      </c>
      <c r="F52" s="160" t="str">
        <f>IFERROR(VLOOKUP(A52,MATEMATIKA!$A$9:$AN$68,40,FALSE),"")</f>
        <v/>
      </c>
      <c r="G52" s="160" t="str">
        <f>IFERROR(VLOOKUP(A52,IPAS!$A$9:$AN$68,40,FALSE),"")</f>
        <v/>
      </c>
      <c r="H52" s="160" t="str">
        <f t="shared" ca="1" si="0"/>
        <v/>
      </c>
      <c r="I52" s="160" t="str">
        <f t="shared" ca="1" si="1"/>
        <v/>
      </c>
      <c r="J52" s="160" t="str">
        <f t="shared" ca="1" si="2"/>
        <v/>
      </c>
      <c r="K52" s="160" t="str">
        <f t="shared" ca="1" si="3"/>
        <v/>
      </c>
      <c r="L52" s="160" t="str">
        <f>IFERROR(VLOOKUP(A52,PJOK!$A$9:$AN$68,40,FALSE),"")</f>
        <v/>
      </c>
      <c r="M52" s="160" t="str">
        <f>IFERROR(VLOOKUP(A52,INGGRIS!$A$9:$AN$68,40,FALSE),"")</f>
        <v/>
      </c>
      <c r="N52" s="160" t="str">
        <f>IFERROR(VLOOKUP(A52,MULOK1!$A$9:$AN$68,40,FALSE),"")</f>
        <v/>
      </c>
      <c r="O52" s="160" t="str">
        <f>IFERROR(VLOOKUP(A52,MULOK2!$A$9:$AN$68,40,FALSE),"")</f>
        <v/>
      </c>
      <c r="P52" s="160" t="str">
        <f>IFERROR(VLOOKUP(A52,MULOK3!$A$9:$AN$68,40,FALSE),"")</f>
        <v/>
      </c>
      <c r="Q52" s="160" t="str">
        <f>IFERROR(VLOOKUP(A52,MULOK4!$A$9:$AN$68,40,FALSE),"")</f>
        <v/>
      </c>
      <c r="R52" s="160" t="str">
        <f>IFERROR(VLOOKUP(A52,MULOK5!$A$9:$AN$68,40,FALSE),"")</f>
        <v/>
      </c>
      <c r="S52" s="161"/>
      <c r="T52" s="162"/>
      <c r="U52" s="29" t="str">
        <f t="shared" si="5"/>
        <v/>
      </c>
      <c r="V52" s="90"/>
    </row>
    <row r="53" spans="1:22" hidden="1" x14ac:dyDescent="0.25">
      <c r="A53" s="159">
        <f>'Identitas Siswa'!A52</f>
        <v>45</v>
      </c>
      <c r="B53" s="159" t="str">
        <f>IF('Identitas Siswa'!D52=0,"",'Identitas Siswa'!D52)</f>
        <v/>
      </c>
      <c r="C53" s="160" t="str">
        <f>IFERROR(VLOOKUP(A53,AGAMA!$A$9:$AN$68,40,FALSE),"")</f>
        <v/>
      </c>
      <c r="D53" s="160" t="str">
        <f>IFERROR(VLOOKUP(A53,PANCASILA!$A$9:$AN$68,40,FALSE),"")</f>
        <v/>
      </c>
      <c r="E53" s="160" t="str">
        <f>IFERROR(VLOOKUP(A53,INDONESIA!$A$9:$AN$68,40,FALSE),"")</f>
        <v/>
      </c>
      <c r="F53" s="160" t="str">
        <f>IFERROR(VLOOKUP(A53,MATEMATIKA!$A$9:$AN$68,40,FALSE),"")</f>
        <v/>
      </c>
      <c r="G53" s="160" t="str">
        <f>IFERROR(VLOOKUP(A53,IPAS!$A$9:$AN$68,40,FALSE),"")</f>
        <v/>
      </c>
      <c r="H53" s="160" t="str">
        <f t="shared" ca="1" si="0"/>
        <v/>
      </c>
      <c r="I53" s="160" t="str">
        <f t="shared" ca="1" si="1"/>
        <v/>
      </c>
      <c r="J53" s="160" t="str">
        <f t="shared" ca="1" si="2"/>
        <v/>
      </c>
      <c r="K53" s="160" t="str">
        <f t="shared" ca="1" si="3"/>
        <v/>
      </c>
      <c r="L53" s="160" t="str">
        <f>IFERROR(VLOOKUP(A53,PJOK!$A$9:$AN$68,40,FALSE),"")</f>
        <v/>
      </c>
      <c r="M53" s="160" t="str">
        <f>IFERROR(VLOOKUP(A53,INGGRIS!$A$9:$AN$68,40,FALSE),"")</f>
        <v/>
      </c>
      <c r="N53" s="160" t="str">
        <f>IFERROR(VLOOKUP(A53,MULOK1!$A$9:$AN$68,40,FALSE),"")</f>
        <v/>
      </c>
      <c r="O53" s="160" t="str">
        <f>IFERROR(VLOOKUP(A53,MULOK2!$A$9:$AN$68,40,FALSE),"")</f>
        <v/>
      </c>
      <c r="P53" s="160" t="str">
        <f>IFERROR(VLOOKUP(A53,MULOK3!$A$9:$AN$68,40,FALSE),"")</f>
        <v/>
      </c>
      <c r="Q53" s="160" t="str">
        <f>IFERROR(VLOOKUP(A53,MULOK4!$A$9:$AN$68,40,FALSE),"")</f>
        <v/>
      </c>
      <c r="R53" s="160" t="str">
        <f>IFERROR(VLOOKUP(A53,MULOK5!$A$9:$AN$68,40,FALSE),"")</f>
        <v/>
      </c>
      <c r="S53" s="161"/>
      <c r="T53" s="162"/>
      <c r="U53" s="29" t="str">
        <f t="shared" si="5"/>
        <v/>
      </c>
      <c r="V53" s="90"/>
    </row>
    <row r="54" spans="1:22" hidden="1" x14ac:dyDescent="0.25">
      <c r="A54" s="159">
        <f>'Identitas Siswa'!A53</f>
        <v>46</v>
      </c>
      <c r="B54" s="159" t="str">
        <f>IF('Identitas Siswa'!D53=0,"",'Identitas Siswa'!D53)</f>
        <v/>
      </c>
      <c r="C54" s="160" t="str">
        <f>IFERROR(VLOOKUP(A54,AGAMA!$A$9:$AN$68,40,FALSE),"")</f>
        <v/>
      </c>
      <c r="D54" s="160" t="str">
        <f>IFERROR(VLOOKUP(A54,PANCASILA!$A$9:$AN$68,40,FALSE),"")</f>
        <v/>
      </c>
      <c r="E54" s="160" t="str">
        <f>IFERROR(VLOOKUP(A54,INDONESIA!$A$9:$AN$68,40,FALSE),"")</f>
        <v/>
      </c>
      <c r="F54" s="160" t="str">
        <f>IFERROR(VLOOKUP(A54,MATEMATIKA!$A$9:$AN$68,40,FALSE),"")</f>
        <v/>
      </c>
      <c r="G54" s="160" t="str">
        <f>IFERROR(VLOOKUP(A54,IPAS!$A$9:$AN$68,40,FALSE),"")</f>
        <v/>
      </c>
      <c r="H54" s="160" t="str">
        <f t="shared" ca="1" si="0"/>
        <v/>
      </c>
      <c r="I54" s="160" t="str">
        <f t="shared" ca="1" si="1"/>
        <v/>
      </c>
      <c r="J54" s="160" t="str">
        <f t="shared" ca="1" si="2"/>
        <v/>
      </c>
      <c r="K54" s="160" t="str">
        <f t="shared" ca="1" si="3"/>
        <v/>
      </c>
      <c r="L54" s="160" t="str">
        <f>IFERROR(VLOOKUP(A54,PJOK!$A$9:$AN$68,40,FALSE),"")</f>
        <v/>
      </c>
      <c r="M54" s="160" t="str">
        <f>IFERROR(VLOOKUP(A54,INGGRIS!$A$9:$AN$68,40,FALSE),"")</f>
        <v/>
      </c>
      <c r="N54" s="160" t="str">
        <f>IFERROR(VLOOKUP(A54,MULOK1!$A$9:$AN$68,40,FALSE),"")</f>
        <v/>
      </c>
      <c r="O54" s="160" t="str">
        <f>IFERROR(VLOOKUP(A54,MULOK2!$A$9:$AN$68,40,FALSE),"")</f>
        <v/>
      </c>
      <c r="P54" s="160" t="str">
        <f>IFERROR(VLOOKUP(A54,MULOK3!$A$9:$AN$68,40,FALSE),"")</f>
        <v/>
      </c>
      <c r="Q54" s="160" t="str">
        <f>IFERROR(VLOOKUP(A54,MULOK4!$A$9:$AN$68,40,FALSE),"")</f>
        <v/>
      </c>
      <c r="R54" s="160" t="str">
        <f>IFERROR(VLOOKUP(A54,MULOK5!$A$9:$AN$68,40,FALSE),"")</f>
        <v/>
      </c>
      <c r="S54" s="161"/>
      <c r="T54" s="162"/>
      <c r="U54" s="29" t="str">
        <f t="shared" si="5"/>
        <v/>
      </c>
      <c r="V54" s="90"/>
    </row>
    <row r="55" spans="1:22" hidden="1" x14ac:dyDescent="0.25">
      <c r="A55" s="159">
        <f>'Identitas Siswa'!A54</f>
        <v>47</v>
      </c>
      <c r="B55" s="159" t="str">
        <f>IF('Identitas Siswa'!D54=0,"",'Identitas Siswa'!D54)</f>
        <v/>
      </c>
      <c r="C55" s="160" t="str">
        <f>IFERROR(VLOOKUP(A55,AGAMA!$A$9:$AN$68,40,FALSE),"")</f>
        <v/>
      </c>
      <c r="D55" s="160" t="str">
        <f>IFERROR(VLOOKUP(A55,PANCASILA!$A$9:$AN$68,40,FALSE),"")</f>
        <v/>
      </c>
      <c r="E55" s="160" t="str">
        <f>IFERROR(VLOOKUP(A55,INDONESIA!$A$9:$AN$68,40,FALSE),"")</f>
        <v/>
      </c>
      <c r="F55" s="160" t="str">
        <f>IFERROR(VLOOKUP(A55,MATEMATIKA!$A$9:$AN$68,40,FALSE),"")</f>
        <v/>
      </c>
      <c r="G55" s="160" t="str">
        <f>IFERROR(VLOOKUP(A55,IPAS!$A$9:$AN$68,40,FALSE),"")</f>
        <v/>
      </c>
      <c r="H55" s="160" t="str">
        <f t="shared" ca="1" si="0"/>
        <v/>
      </c>
      <c r="I55" s="160" t="str">
        <f t="shared" ca="1" si="1"/>
        <v/>
      </c>
      <c r="J55" s="160" t="str">
        <f t="shared" ca="1" si="2"/>
        <v/>
      </c>
      <c r="K55" s="160" t="str">
        <f t="shared" ca="1" si="3"/>
        <v/>
      </c>
      <c r="L55" s="160" t="str">
        <f>IFERROR(VLOOKUP(A55,PJOK!$A$9:$AN$68,40,FALSE),"")</f>
        <v/>
      </c>
      <c r="M55" s="160" t="str">
        <f>IFERROR(VLOOKUP(A55,INGGRIS!$A$9:$AN$68,40,FALSE),"")</f>
        <v/>
      </c>
      <c r="N55" s="160" t="str">
        <f>IFERROR(VLOOKUP(A55,MULOK1!$A$9:$AN$68,40,FALSE),"")</f>
        <v/>
      </c>
      <c r="O55" s="160" t="str">
        <f>IFERROR(VLOOKUP(A55,MULOK2!$A$9:$AN$68,40,FALSE),"")</f>
        <v/>
      </c>
      <c r="P55" s="160" t="str">
        <f>IFERROR(VLOOKUP(A55,MULOK3!$A$9:$AN$68,40,FALSE),"")</f>
        <v/>
      </c>
      <c r="Q55" s="160" t="str">
        <f>IFERROR(VLOOKUP(A55,MULOK4!$A$9:$AN$68,40,FALSE),"")</f>
        <v/>
      </c>
      <c r="R55" s="160" t="str">
        <f>IFERROR(VLOOKUP(A55,MULOK5!$A$9:$AN$68,40,FALSE),"")</f>
        <v/>
      </c>
      <c r="S55" s="161"/>
      <c r="T55" s="162"/>
      <c r="U55" s="29" t="str">
        <f t="shared" si="5"/>
        <v/>
      </c>
      <c r="V55" s="90"/>
    </row>
    <row r="56" spans="1:22" hidden="1" x14ac:dyDescent="0.25">
      <c r="A56" s="159">
        <f>'Identitas Siswa'!A55</f>
        <v>48</v>
      </c>
      <c r="B56" s="159" t="str">
        <f>IF('Identitas Siswa'!D55=0,"",'Identitas Siswa'!D55)</f>
        <v/>
      </c>
      <c r="C56" s="160" t="str">
        <f>IFERROR(VLOOKUP(A56,AGAMA!$A$9:$AN$68,40,FALSE),"")</f>
        <v/>
      </c>
      <c r="D56" s="160" t="str">
        <f>IFERROR(VLOOKUP(A56,PANCASILA!$A$9:$AN$68,40,FALSE),"")</f>
        <v/>
      </c>
      <c r="E56" s="160" t="str">
        <f>IFERROR(VLOOKUP(A56,INDONESIA!$A$9:$AN$68,40,FALSE),"")</f>
        <v/>
      </c>
      <c r="F56" s="160" t="str">
        <f>IFERROR(VLOOKUP(A56,MATEMATIKA!$A$9:$AN$68,40,FALSE),"")</f>
        <v/>
      </c>
      <c r="G56" s="160" t="str">
        <f>IFERROR(VLOOKUP(A56,IPAS!$A$9:$AN$68,40,FALSE),"")</f>
        <v/>
      </c>
      <c r="H56" s="160" t="str">
        <f t="shared" ca="1" si="0"/>
        <v/>
      </c>
      <c r="I56" s="160" t="str">
        <f t="shared" ca="1" si="1"/>
        <v/>
      </c>
      <c r="J56" s="160" t="str">
        <f t="shared" ca="1" si="2"/>
        <v/>
      </c>
      <c r="K56" s="160" t="str">
        <f t="shared" ca="1" si="3"/>
        <v/>
      </c>
      <c r="L56" s="160" t="str">
        <f>IFERROR(VLOOKUP(A56,PJOK!$A$9:$AN$68,40,FALSE),"")</f>
        <v/>
      </c>
      <c r="M56" s="160" t="str">
        <f>IFERROR(VLOOKUP(A56,INGGRIS!$A$9:$AN$68,40,FALSE),"")</f>
        <v/>
      </c>
      <c r="N56" s="160" t="str">
        <f>IFERROR(VLOOKUP(A56,MULOK1!$A$9:$AN$68,40,FALSE),"")</f>
        <v/>
      </c>
      <c r="O56" s="160" t="str">
        <f>IFERROR(VLOOKUP(A56,MULOK2!$A$9:$AN$68,40,FALSE),"")</f>
        <v/>
      </c>
      <c r="P56" s="160" t="str">
        <f>IFERROR(VLOOKUP(A56,MULOK3!$A$9:$AN$68,40,FALSE),"")</f>
        <v/>
      </c>
      <c r="Q56" s="160" t="str">
        <f>IFERROR(VLOOKUP(A56,MULOK4!$A$9:$AN$68,40,FALSE),"")</f>
        <v/>
      </c>
      <c r="R56" s="160" t="str">
        <f>IFERROR(VLOOKUP(A56,MULOK5!$A$9:$AN$68,40,FALSE),"")</f>
        <v/>
      </c>
      <c r="S56" s="161"/>
      <c r="T56" s="162"/>
      <c r="U56" s="29" t="str">
        <f t="shared" si="5"/>
        <v/>
      </c>
      <c r="V56" s="90"/>
    </row>
    <row r="57" spans="1:22" hidden="1" x14ac:dyDescent="0.25">
      <c r="A57" s="159">
        <f>'Identitas Siswa'!A56</f>
        <v>49</v>
      </c>
      <c r="B57" s="159" t="str">
        <f>IF('Identitas Siswa'!D56=0,"",'Identitas Siswa'!D56)</f>
        <v/>
      </c>
      <c r="C57" s="160" t="str">
        <f>IFERROR(VLOOKUP(A57,AGAMA!$A$9:$AN$68,40,FALSE),"")</f>
        <v/>
      </c>
      <c r="D57" s="160" t="str">
        <f>IFERROR(VLOOKUP(A57,PANCASILA!$A$9:$AN$68,40,FALSE),"")</f>
        <v/>
      </c>
      <c r="E57" s="160" t="str">
        <f>IFERROR(VLOOKUP(A57,INDONESIA!$A$9:$AN$68,40,FALSE),"")</f>
        <v/>
      </c>
      <c r="F57" s="160" t="str">
        <f>IFERROR(VLOOKUP(A57,MATEMATIKA!$A$9:$AN$68,40,FALSE),"")</f>
        <v/>
      </c>
      <c r="G57" s="160" t="str">
        <f>IFERROR(VLOOKUP(A57,IPAS!$A$9:$AN$68,40,FALSE),"")</f>
        <v/>
      </c>
      <c r="H57" s="160" t="str">
        <f t="shared" ca="1" si="0"/>
        <v/>
      </c>
      <c r="I57" s="160" t="str">
        <f t="shared" ca="1" si="1"/>
        <v/>
      </c>
      <c r="J57" s="160" t="str">
        <f t="shared" ca="1" si="2"/>
        <v/>
      </c>
      <c r="K57" s="160" t="str">
        <f t="shared" ca="1" si="3"/>
        <v/>
      </c>
      <c r="L57" s="160" t="str">
        <f>IFERROR(VLOOKUP(A57,PJOK!$A$9:$AN$68,40,FALSE),"")</f>
        <v/>
      </c>
      <c r="M57" s="160" t="str">
        <f>IFERROR(VLOOKUP(A57,INGGRIS!$A$9:$AN$68,40,FALSE),"")</f>
        <v/>
      </c>
      <c r="N57" s="160" t="str">
        <f>IFERROR(VLOOKUP(A57,MULOK1!$A$9:$AN$68,40,FALSE),"")</f>
        <v/>
      </c>
      <c r="O57" s="160" t="str">
        <f>IFERROR(VLOOKUP(A57,MULOK2!$A$9:$AN$68,40,FALSE),"")</f>
        <v/>
      </c>
      <c r="P57" s="160" t="str">
        <f>IFERROR(VLOOKUP(A57,MULOK3!$A$9:$AN$68,40,FALSE),"")</f>
        <v/>
      </c>
      <c r="Q57" s="160" t="str">
        <f>IFERROR(VLOOKUP(A57,MULOK4!$A$9:$AN$68,40,FALSE),"")</f>
        <v/>
      </c>
      <c r="R57" s="160" t="str">
        <f>IFERROR(VLOOKUP(A57,MULOK5!$A$9:$AN$68,40,FALSE),"")</f>
        <v/>
      </c>
      <c r="S57" s="161"/>
      <c r="T57" s="162"/>
      <c r="U57" s="29" t="str">
        <f t="shared" si="5"/>
        <v/>
      </c>
      <c r="V57" s="90"/>
    </row>
    <row r="58" spans="1:22" hidden="1" x14ac:dyDescent="0.25">
      <c r="A58" s="159">
        <f>'Identitas Siswa'!A57</f>
        <v>50</v>
      </c>
      <c r="B58" s="159" t="str">
        <f>IF('Identitas Siswa'!D57=0,"",'Identitas Siswa'!D57)</f>
        <v/>
      </c>
      <c r="C58" s="160" t="str">
        <f>IFERROR(VLOOKUP(A58,AGAMA!$A$9:$AN$68,40,FALSE),"")</f>
        <v/>
      </c>
      <c r="D58" s="160" t="str">
        <f>IFERROR(VLOOKUP(A58,PANCASILA!$A$9:$AN$68,40,FALSE),"")</f>
        <v/>
      </c>
      <c r="E58" s="160" t="str">
        <f>IFERROR(VLOOKUP(A58,INDONESIA!$A$9:$AN$68,40,FALSE),"")</f>
        <v/>
      </c>
      <c r="F58" s="160" t="str">
        <f>IFERROR(VLOOKUP(A58,MATEMATIKA!$A$9:$AN$68,40,FALSE),"")</f>
        <v/>
      </c>
      <c r="G58" s="160" t="str">
        <f>IFERROR(VLOOKUP(A58,IPAS!$A$9:$AN$68,40,FALSE),"")</f>
        <v/>
      </c>
      <c r="H58" s="160" t="str">
        <f t="shared" ca="1" si="0"/>
        <v/>
      </c>
      <c r="I58" s="160" t="str">
        <f t="shared" ca="1" si="1"/>
        <v/>
      </c>
      <c r="J58" s="160" t="str">
        <f t="shared" ca="1" si="2"/>
        <v/>
      </c>
      <c r="K58" s="160" t="str">
        <f t="shared" ca="1" si="3"/>
        <v/>
      </c>
      <c r="L58" s="160" t="str">
        <f>IFERROR(VLOOKUP(A58,PJOK!$A$9:$AN$68,40,FALSE),"")</f>
        <v/>
      </c>
      <c r="M58" s="160" t="str">
        <f>IFERROR(VLOOKUP(A58,INGGRIS!$A$9:$AN$68,40,FALSE),"")</f>
        <v/>
      </c>
      <c r="N58" s="160" t="str">
        <f>IFERROR(VLOOKUP(A58,MULOK1!$A$9:$AN$68,40,FALSE),"")</f>
        <v/>
      </c>
      <c r="O58" s="160" t="str">
        <f>IFERROR(VLOOKUP(A58,MULOK2!$A$9:$AN$68,40,FALSE),"")</f>
        <v/>
      </c>
      <c r="P58" s="160" t="str">
        <f>IFERROR(VLOOKUP(A58,MULOK3!$A$9:$AN$68,40,FALSE),"")</f>
        <v/>
      </c>
      <c r="Q58" s="160" t="str">
        <f>IFERROR(VLOOKUP(A58,MULOK4!$A$9:$AN$68,40,FALSE),"")</f>
        <v/>
      </c>
      <c r="R58" s="160" t="str">
        <f>IFERROR(VLOOKUP(A58,MULOK5!$A$9:$AN$68,40,FALSE),"")</f>
        <v/>
      </c>
      <c r="S58" s="161"/>
      <c r="T58" s="162"/>
      <c r="U58" s="29" t="str">
        <f t="shared" si="5"/>
        <v/>
      </c>
      <c r="V58" s="90"/>
    </row>
    <row r="59" spans="1:22" hidden="1" x14ac:dyDescent="0.25">
      <c r="A59" s="159">
        <f>'Identitas Siswa'!A58</f>
        <v>51</v>
      </c>
      <c r="B59" s="159" t="str">
        <f>IF('Identitas Siswa'!D58=0,"",'Identitas Siswa'!D58)</f>
        <v/>
      </c>
      <c r="C59" s="160" t="str">
        <f>IFERROR(VLOOKUP(A59,AGAMA!$A$9:$AN$68,40,FALSE),"")</f>
        <v/>
      </c>
      <c r="D59" s="160" t="str">
        <f>IFERROR(VLOOKUP(A59,PANCASILA!$A$9:$AN$68,40,FALSE),"")</f>
        <v/>
      </c>
      <c r="E59" s="160" t="str">
        <f>IFERROR(VLOOKUP(A59,INDONESIA!$A$9:$AN$68,40,FALSE),"")</f>
        <v/>
      </c>
      <c r="F59" s="160" t="str">
        <f>IFERROR(VLOOKUP(A59,MATEMATIKA!$A$9:$AN$68,40,FALSE),"")</f>
        <v/>
      </c>
      <c r="G59" s="160" t="str">
        <f>IFERROR(VLOOKUP(A59,IPAS!$A$9:$AN$68,40,FALSE),"")</f>
        <v/>
      </c>
      <c r="H59" s="160" t="str">
        <f t="shared" ca="1" si="0"/>
        <v/>
      </c>
      <c r="I59" s="160" t="str">
        <f t="shared" ca="1" si="1"/>
        <v/>
      </c>
      <c r="J59" s="160" t="str">
        <f t="shared" ca="1" si="2"/>
        <v/>
      </c>
      <c r="K59" s="160" t="str">
        <f t="shared" ca="1" si="3"/>
        <v/>
      </c>
      <c r="L59" s="160" t="str">
        <f>IFERROR(VLOOKUP(A59,PJOK!$A$9:$AN$68,40,FALSE),"")</f>
        <v/>
      </c>
      <c r="M59" s="160" t="str">
        <f>IFERROR(VLOOKUP(A59,INGGRIS!$A$9:$AN$68,40,FALSE),"")</f>
        <v/>
      </c>
      <c r="N59" s="160" t="str">
        <f>IFERROR(VLOOKUP(A59,MULOK1!$A$9:$AN$68,40,FALSE),"")</f>
        <v/>
      </c>
      <c r="O59" s="160" t="str">
        <f>IFERROR(VLOOKUP(A59,MULOK2!$A$9:$AN$68,40,FALSE),"")</f>
        <v/>
      </c>
      <c r="P59" s="160" t="str">
        <f>IFERROR(VLOOKUP(A59,MULOK3!$A$9:$AN$68,40,FALSE),"")</f>
        <v/>
      </c>
      <c r="Q59" s="160" t="str">
        <f>IFERROR(VLOOKUP(A59,MULOK4!$A$9:$AN$68,40,FALSE),"")</f>
        <v/>
      </c>
      <c r="R59" s="160" t="str">
        <f>IFERROR(VLOOKUP(A59,MULOK5!$A$9:$AN$68,40,FALSE),"")</f>
        <v/>
      </c>
      <c r="S59" s="161"/>
      <c r="T59" s="162"/>
      <c r="U59" s="29" t="str">
        <f t="shared" si="5"/>
        <v/>
      </c>
      <c r="V59" s="90"/>
    </row>
    <row r="60" spans="1:22" hidden="1" x14ac:dyDescent="0.25">
      <c r="A60" s="159">
        <f>'Identitas Siswa'!A59</f>
        <v>52</v>
      </c>
      <c r="B60" s="159" t="str">
        <f>IF('Identitas Siswa'!D59=0,"",'Identitas Siswa'!D59)</f>
        <v/>
      </c>
      <c r="C60" s="160" t="str">
        <f>IFERROR(VLOOKUP(A60,AGAMA!$A$9:$AN$68,40,FALSE),"")</f>
        <v/>
      </c>
      <c r="D60" s="160" t="str">
        <f>IFERROR(VLOOKUP(A60,PANCASILA!$A$9:$AN$68,40,FALSE),"")</f>
        <v/>
      </c>
      <c r="E60" s="160" t="str">
        <f>IFERROR(VLOOKUP(A60,INDONESIA!$A$9:$AN$68,40,FALSE),"")</f>
        <v/>
      </c>
      <c r="F60" s="160" t="str">
        <f>IFERROR(VLOOKUP(A60,MATEMATIKA!$A$9:$AN$68,40,FALSE),"")</f>
        <v/>
      </c>
      <c r="G60" s="160" t="str">
        <f>IFERROR(VLOOKUP(A60,IPAS!$A$9:$AN$68,40,FALSE),"")</f>
        <v/>
      </c>
      <c r="H60" s="160" t="str">
        <f t="shared" ca="1" si="0"/>
        <v/>
      </c>
      <c r="I60" s="160" t="str">
        <f t="shared" ca="1" si="1"/>
        <v/>
      </c>
      <c r="J60" s="160" t="str">
        <f t="shared" ca="1" si="2"/>
        <v/>
      </c>
      <c r="K60" s="160" t="str">
        <f t="shared" ca="1" si="3"/>
        <v/>
      </c>
      <c r="L60" s="160" t="str">
        <f>IFERROR(VLOOKUP(A60,PJOK!$A$9:$AN$68,40,FALSE),"")</f>
        <v/>
      </c>
      <c r="M60" s="160" t="str">
        <f>IFERROR(VLOOKUP(A60,INGGRIS!$A$9:$AN$68,40,FALSE),"")</f>
        <v/>
      </c>
      <c r="N60" s="160" t="str">
        <f>IFERROR(VLOOKUP(A60,MULOK1!$A$9:$AN$68,40,FALSE),"")</f>
        <v/>
      </c>
      <c r="O60" s="160" t="str">
        <f>IFERROR(VLOOKUP(A60,MULOK2!$A$9:$AN$68,40,FALSE),"")</f>
        <v/>
      </c>
      <c r="P60" s="160" t="str">
        <f>IFERROR(VLOOKUP(A60,MULOK3!$A$9:$AN$68,40,FALSE),"")</f>
        <v/>
      </c>
      <c r="Q60" s="160" t="str">
        <f>IFERROR(VLOOKUP(A60,MULOK4!$A$9:$AN$68,40,FALSE),"")</f>
        <v/>
      </c>
      <c r="R60" s="160" t="str">
        <f>IFERROR(VLOOKUP(A60,MULOK5!$A$9:$AN$68,40,FALSE),"")</f>
        <v/>
      </c>
      <c r="S60" s="161"/>
      <c r="T60" s="162"/>
      <c r="U60" s="29" t="str">
        <f t="shared" si="5"/>
        <v/>
      </c>
      <c r="V60" s="90"/>
    </row>
    <row r="61" spans="1:22" hidden="1" x14ac:dyDescent="0.25">
      <c r="A61" s="159">
        <f>'Identitas Siswa'!A60</f>
        <v>53</v>
      </c>
      <c r="B61" s="159" t="str">
        <f>IF('Identitas Siswa'!D60=0,"",'Identitas Siswa'!D60)</f>
        <v/>
      </c>
      <c r="C61" s="160" t="str">
        <f>IFERROR(VLOOKUP(A61,AGAMA!$A$9:$AN$68,40,FALSE),"")</f>
        <v/>
      </c>
      <c r="D61" s="160" t="str">
        <f>IFERROR(VLOOKUP(A61,PANCASILA!$A$9:$AN$68,40,FALSE),"")</f>
        <v/>
      </c>
      <c r="E61" s="160" t="str">
        <f>IFERROR(VLOOKUP(A61,INDONESIA!$A$9:$AN$68,40,FALSE),"")</f>
        <v/>
      </c>
      <c r="F61" s="160" t="str">
        <f>IFERROR(VLOOKUP(A61,MATEMATIKA!$A$9:$AN$68,40,FALSE),"")</f>
        <v/>
      </c>
      <c r="G61" s="160" t="str">
        <f>IFERROR(VLOOKUP(A61,IPAS!$A$9:$AN$68,40,FALSE),"")</f>
        <v/>
      </c>
      <c r="H61" s="160" t="str">
        <f t="shared" ca="1" si="0"/>
        <v/>
      </c>
      <c r="I61" s="160" t="str">
        <f t="shared" ca="1" si="1"/>
        <v/>
      </c>
      <c r="J61" s="160" t="str">
        <f t="shared" ca="1" si="2"/>
        <v/>
      </c>
      <c r="K61" s="160" t="str">
        <f t="shared" ca="1" si="3"/>
        <v/>
      </c>
      <c r="L61" s="160" t="str">
        <f>IFERROR(VLOOKUP(A61,PJOK!$A$9:$AN$68,40,FALSE),"")</f>
        <v/>
      </c>
      <c r="M61" s="160" t="str">
        <f>IFERROR(VLOOKUP(A61,INGGRIS!$A$9:$AN$68,40,FALSE),"")</f>
        <v/>
      </c>
      <c r="N61" s="160" t="str">
        <f>IFERROR(VLOOKUP(A61,MULOK1!$A$9:$AN$68,40,FALSE),"")</f>
        <v/>
      </c>
      <c r="O61" s="160" t="str">
        <f>IFERROR(VLOOKUP(A61,MULOK2!$A$9:$AN$68,40,FALSE),"")</f>
        <v/>
      </c>
      <c r="P61" s="160" t="str">
        <f>IFERROR(VLOOKUP(A61,MULOK3!$A$9:$AN$68,40,FALSE),"")</f>
        <v/>
      </c>
      <c r="Q61" s="160" t="str">
        <f>IFERROR(VLOOKUP(A61,MULOK4!$A$9:$AN$68,40,FALSE),"")</f>
        <v/>
      </c>
      <c r="R61" s="160" t="str">
        <f>IFERROR(VLOOKUP(A61,MULOK5!$A$9:$AN$68,40,FALSE),"")</f>
        <v/>
      </c>
      <c r="S61" s="161"/>
      <c r="T61" s="162"/>
      <c r="U61" s="29" t="str">
        <f t="shared" si="5"/>
        <v/>
      </c>
      <c r="V61" s="90"/>
    </row>
    <row r="62" spans="1:22" hidden="1" x14ac:dyDescent="0.25">
      <c r="A62" s="159">
        <f>'Identitas Siswa'!A61</f>
        <v>54</v>
      </c>
      <c r="B62" s="159" t="str">
        <f>IF('Identitas Siswa'!D61=0,"",'Identitas Siswa'!D61)</f>
        <v/>
      </c>
      <c r="C62" s="160" t="str">
        <f>IFERROR(VLOOKUP(A62,AGAMA!$A$9:$AN$68,40,FALSE),"")</f>
        <v/>
      </c>
      <c r="D62" s="160" t="str">
        <f>IFERROR(VLOOKUP(A62,PANCASILA!$A$9:$AN$68,40,FALSE),"")</f>
        <v/>
      </c>
      <c r="E62" s="160" t="str">
        <f>IFERROR(VLOOKUP(A62,INDONESIA!$A$9:$AN$68,40,FALSE),"")</f>
        <v/>
      </c>
      <c r="F62" s="160" t="str">
        <f>IFERROR(VLOOKUP(A62,MATEMATIKA!$A$9:$AN$68,40,FALSE),"")</f>
        <v/>
      </c>
      <c r="G62" s="160" t="str">
        <f>IFERROR(VLOOKUP(A62,IPAS!$A$9:$AN$68,40,FALSE),"")</f>
        <v/>
      </c>
      <c r="H62" s="160" t="str">
        <f t="shared" ca="1" si="0"/>
        <v/>
      </c>
      <c r="I62" s="160" t="str">
        <f t="shared" ca="1" si="1"/>
        <v/>
      </c>
      <c r="J62" s="160" t="str">
        <f t="shared" ca="1" si="2"/>
        <v/>
      </c>
      <c r="K62" s="160" t="str">
        <f t="shared" ca="1" si="3"/>
        <v/>
      </c>
      <c r="L62" s="160" t="str">
        <f>IFERROR(VLOOKUP(A62,PJOK!$A$9:$AN$68,40,FALSE),"")</f>
        <v/>
      </c>
      <c r="M62" s="160" t="str">
        <f>IFERROR(VLOOKUP(A62,INGGRIS!$A$9:$AN$68,40,FALSE),"")</f>
        <v/>
      </c>
      <c r="N62" s="160" t="str">
        <f>IFERROR(VLOOKUP(A62,MULOK1!$A$9:$AN$68,40,FALSE),"")</f>
        <v/>
      </c>
      <c r="O62" s="160" t="str">
        <f>IFERROR(VLOOKUP(A62,MULOK2!$A$9:$AN$68,40,FALSE),"")</f>
        <v/>
      </c>
      <c r="P62" s="160" t="str">
        <f>IFERROR(VLOOKUP(A62,MULOK3!$A$9:$AN$68,40,FALSE),"")</f>
        <v/>
      </c>
      <c r="Q62" s="160" t="str">
        <f>IFERROR(VLOOKUP(A62,MULOK4!$A$9:$AN$68,40,FALSE),"")</f>
        <v/>
      </c>
      <c r="R62" s="160" t="str">
        <f>IFERROR(VLOOKUP(A62,MULOK5!$A$9:$AN$68,40,FALSE),"")</f>
        <v/>
      </c>
      <c r="S62" s="161"/>
      <c r="T62" s="162"/>
      <c r="U62" s="29" t="str">
        <f t="shared" si="5"/>
        <v/>
      </c>
      <c r="V62" s="90"/>
    </row>
    <row r="63" spans="1:22" hidden="1" x14ac:dyDescent="0.25">
      <c r="A63" s="159">
        <f>'Identitas Siswa'!A62</f>
        <v>55</v>
      </c>
      <c r="B63" s="159" t="str">
        <f>IF('Identitas Siswa'!D62=0,"",'Identitas Siswa'!D62)</f>
        <v/>
      </c>
      <c r="C63" s="160" t="str">
        <f>IFERROR(VLOOKUP(A63,AGAMA!$A$9:$AN$68,40,FALSE),"")</f>
        <v/>
      </c>
      <c r="D63" s="160" t="str">
        <f>IFERROR(VLOOKUP(A63,PANCASILA!$A$9:$AN$68,40,FALSE),"")</f>
        <v/>
      </c>
      <c r="E63" s="160" t="str">
        <f>IFERROR(VLOOKUP(A63,INDONESIA!$A$9:$AN$68,40,FALSE),"")</f>
        <v/>
      </c>
      <c r="F63" s="160" t="str">
        <f>IFERROR(VLOOKUP(A63,MATEMATIKA!$A$9:$AN$68,40,FALSE),"")</f>
        <v/>
      </c>
      <c r="G63" s="160" t="str">
        <f>IFERROR(VLOOKUP(A63,IPAS!$A$9:$AN$68,40,FALSE),"")</f>
        <v/>
      </c>
      <c r="H63" s="160" t="str">
        <f t="shared" ca="1" si="0"/>
        <v/>
      </c>
      <c r="I63" s="160" t="str">
        <f t="shared" ca="1" si="1"/>
        <v/>
      </c>
      <c r="J63" s="160" t="str">
        <f t="shared" ca="1" si="2"/>
        <v/>
      </c>
      <c r="K63" s="160" t="str">
        <f t="shared" ca="1" si="3"/>
        <v/>
      </c>
      <c r="L63" s="160" t="str">
        <f>IFERROR(VLOOKUP(A63,PJOK!$A$9:$AN$68,40,FALSE),"")</f>
        <v/>
      </c>
      <c r="M63" s="160" t="str">
        <f>IFERROR(VLOOKUP(A63,INGGRIS!$A$9:$AN$68,40,FALSE),"")</f>
        <v/>
      </c>
      <c r="N63" s="160" t="str">
        <f>IFERROR(VLOOKUP(A63,MULOK1!$A$9:$AN$68,40,FALSE),"")</f>
        <v/>
      </c>
      <c r="O63" s="160" t="str">
        <f>IFERROR(VLOOKUP(A63,MULOK2!$A$9:$AN$68,40,FALSE),"")</f>
        <v/>
      </c>
      <c r="P63" s="160" t="str">
        <f>IFERROR(VLOOKUP(A63,MULOK3!$A$9:$AN$68,40,FALSE),"")</f>
        <v/>
      </c>
      <c r="Q63" s="160" t="str">
        <f>IFERROR(VLOOKUP(A63,MULOK4!$A$9:$AN$68,40,FALSE),"")</f>
        <v/>
      </c>
      <c r="R63" s="160" t="str">
        <f>IFERROR(VLOOKUP(A63,MULOK5!$A$9:$AN$68,40,FALSE),"")</f>
        <v/>
      </c>
      <c r="S63" s="161"/>
      <c r="T63" s="162"/>
      <c r="U63" s="29" t="str">
        <f t="shared" si="5"/>
        <v/>
      </c>
      <c r="V63" s="90"/>
    </row>
    <row r="64" spans="1:22" hidden="1" x14ac:dyDescent="0.25">
      <c r="A64" s="159">
        <f>'Identitas Siswa'!A63</f>
        <v>56</v>
      </c>
      <c r="B64" s="159" t="str">
        <f>IF('Identitas Siswa'!D63=0,"",'Identitas Siswa'!D63)</f>
        <v/>
      </c>
      <c r="C64" s="160" t="str">
        <f>IFERROR(VLOOKUP(A64,AGAMA!$A$9:$AN$68,40,FALSE),"")</f>
        <v/>
      </c>
      <c r="D64" s="160" t="str">
        <f>IFERROR(VLOOKUP(A64,PANCASILA!$A$9:$AN$68,40,FALSE),"")</f>
        <v/>
      </c>
      <c r="E64" s="160" t="str">
        <f>IFERROR(VLOOKUP(A64,INDONESIA!$A$9:$AN$68,40,FALSE),"")</f>
        <v/>
      </c>
      <c r="F64" s="160" t="str">
        <f>IFERROR(VLOOKUP(A64,MATEMATIKA!$A$9:$AN$68,40,FALSE),"")</f>
        <v/>
      </c>
      <c r="G64" s="160" t="str">
        <f>IFERROR(VLOOKUP(A64,IPAS!$A$9:$AN$68,40,FALSE),"")</f>
        <v/>
      </c>
      <c r="H64" s="160" t="str">
        <f t="shared" ca="1" si="0"/>
        <v/>
      </c>
      <c r="I64" s="160" t="str">
        <f t="shared" ca="1" si="1"/>
        <v/>
      </c>
      <c r="J64" s="160" t="str">
        <f t="shared" ca="1" si="2"/>
        <v/>
      </c>
      <c r="K64" s="160" t="str">
        <f t="shared" ca="1" si="3"/>
        <v/>
      </c>
      <c r="L64" s="160" t="str">
        <f>IFERROR(VLOOKUP(A64,PJOK!$A$9:$AN$68,40,FALSE),"")</f>
        <v/>
      </c>
      <c r="M64" s="160" t="str">
        <f>IFERROR(VLOOKUP(A64,INGGRIS!$A$9:$AN$68,40,FALSE),"")</f>
        <v/>
      </c>
      <c r="N64" s="160" t="str">
        <f>IFERROR(VLOOKUP(A64,MULOK1!$A$9:$AN$68,40,FALSE),"")</f>
        <v/>
      </c>
      <c r="O64" s="160" t="str">
        <f>IFERROR(VLOOKUP(A64,MULOK2!$A$9:$AN$68,40,FALSE),"")</f>
        <v/>
      </c>
      <c r="P64" s="160" t="str">
        <f>IFERROR(VLOOKUP(A64,MULOK3!$A$9:$AN$68,40,FALSE),"")</f>
        <v/>
      </c>
      <c r="Q64" s="160" t="str">
        <f>IFERROR(VLOOKUP(A64,MULOK4!$A$9:$AN$68,40,FALSE),"")</f>
        <v/>
      </c>
      <c r="R64" s="160" t="str">
        <f>IFERROR(VLOOKUP(A64,MULOK5!$A$9:$AN$68,40,FALSE),"")</f>
        <v/>
      </c>
      <c r="S64" s="161"/>
      <c r="T64" s="162"/>
      <c r="U64" s="29" t="str">
        <f t="shared" si="5"/>
        <v/>
      </c>
      <c r="V64" s="90"/>
    </row>
    <row r="65" spans="1:22" hidden="1" x14ac:dyDescent="0.25">
      <c r="A65" s="159">
        <f>'Identitas Siswa'!A64</f>
        <v>57</v>
      </c>
      <c r="B65" s="159" t="str">
        <f>IF('Identitas Siswa'!D64=0,"",'Identitas Siswa'!D64)</f>
        <v/>
      </c>
      <c r="C65" s="160" t="str">
        <f>IFERROR(VLOOKUP(A65,AGAMA!$A$9:$AN$68,40,FALSE),"")</f>
        <v/>
      </c>
      <c r="D65" s="160" t="str">
        <f>IFERROR(VLOOKUP(A65,PANCASILA!$A$9:$AN$68,40,FALSE),"")</f>
        <v/>
      </c>
      <c r="E65" s="160" t="str">
        <f>IFERROR(VLOOKUP(A65,INDONESIA!$A$9:$AN$68,40,FALSE),"")</f>
        <v/>
      </c>
      <c r="F65" s="160" t="str">
        <f>IFERROR(VLOOKUP(A65,MATEMATIKA!$A$9:$AN$68,40,FALSE),"")</f>
        <v/>
      </c>
      <c r="G65" s="160" t="str">
        <f>IFERROR(VLOOKUP(A65,IPAS!$A$9:$AN$68,40,FALSE),"")</f>
        <v/>
      </c>
      <c r="H65" s="160" t="str">
        <f t="shared" ca="1" si="0"/>
        <v/>
      </c>
      <c r="I65" s="160" t="str">
        <f t="shared" ca="1" si="1"/>
        <v/>
      </c>
      <c r="J65" s="160" t="str">
        <f t="shared" ca="1" si="2"/>
        <v/>
      </c>
      <c r="K65" s="160" t="str">
        <f t="shared" ca="1" si="3"/>
        <v/>
      </c>
      <c r="L65" s="160" t="str">
        <f>IFERROR(VLOOKUP(A65,PJOK!$A$9:$AN$68,40,FALSE),"")</f>
        <v/>
      </c>
      <c r="M65" s="160" t="str">
        <f>IFERROR(VLOOKUP(A65,INGGRIS!$A$9:$AN$68,40,FALSE),"")</f>
        <v/>
      </c>
      <c r="N65" s="160" t="str">
        <f>IFERROR(VLOOKUP(A65,MULOK1!$A$9:$AN$68,40,FALSE),"")</f>
        <v/>
      </c>
      <c r="O65" s="160" t="str">
        <f>IFERROR(VLOOKUP(A65,MULOK2!$A$9:$AN$68,40,FALSE),"")</f>
        <v/>
      </c>
      <c r="P65" s="160" t="str">
        <f>IFERROR(VLOOKUP(A65,MULOK3!$A$9:$AN$68,40,FALSE),"")</f>
        <v/>
      </c>
      <c r="Q65" s="160" t="str">
        <f>IFERROR(VLOOKUP(A65,MULOK4!$A$9:$AN$68,40,FALSE),"")</f>
        <v/>
      </c>
      <c r="R65" s="160" t="str">
        <f>IFERROR(VLOOKUP(A65,MULOK5!$A$9:$AN$68,40,FALSE),"")</f>
        <v/>
      </c>
      <c r="S65" s="161"/>
      <c r="T65" s="162"/>
      <c r="U65" s="29" t="str">
        <f t="shared" si="5"/>
        <v/>
      </c>
      <c r="V65" s="90"/>
    </row>
    <row r="66" spans="1:22" hidden="1" x14ac:dyDescent="0.25">
      <c r="A66" s="159">
        <f>'Identitas Siswa'!A65</f>
        <v>58</v>
      </c>
      <c r="B66" s="159" t="str">
        <f>IF('Identitas Siswa'!D65=0,"",'Identitas Siswa'!D65)</f>
        <v/>
      </c>
      <c r="C66" s="160" t="str">
        <f>IFERROR(VLOOKUP(A66,AGAMA!$A$9:$AN$68,40,FALSE),"")</f>
        <v/>
      </c>
      <c r="D66" s="160" t="str">
        <f>IFERROR(VLOOKUP(A66,PANCASILA!$A$9:$AN$68,40,FALSE),"")</f>
        <v/>
      </c>
      <c r="E66" s="160" t="str">
        <f>IFERROR(VLOOKUP(A66,INDONESIA!$A$9:$AN$68,40,FALSE),"")</f>
        <v/>
      </c>
      <c r="F66" s="160" t="str">
        <f>IFERROR(VLOOKUP(A66,MATEMATIKA!$A$9:$AN$68,40,FALSE),"")</f>
        <v/>
      </c>
      <c r="G66" s="160" t="str">
        <f>IFERROR(VLOOKUP(A66,IPAS!$A$9:$AN$68,40,FALSE),"")</f>
        <v/>
      </c>
      <c r="H66" s="160" t="str">
        <f t="shared" ca="1" si="0"/>
        <v/>
      </c>
      <c r="I66" s="160" t="str">
        <f t="shared" ca="1" si="1"/>
        <v/>
      </c>
      <c r="J66" s="160" t="str">
        <f t="shared" ca="1" si="2"/>
        <v/>
      </c>
      <c r="K66" s="160" t="str">
        <f t="shared" ca="1" si="3"/>
        <v/>
      </c>
      <c r="L66" s="160" t="str">
        <f>IFERROR(VLOOKUP(A66,PJOK!$A$9:$AN$68,40,FALSE),"")</f>
        <v/>
      </c>
      <c r="M66" s="160" t="str">
        <f>IFERROR(VLOOKUP(A66,INGGRIS!$A$9:$AN$68,40,FALSE),"")</f>
        <v/>
      </c>
      <c r="N66" s="160" t="str">
        <f>IFERROR(VLOOKUP(A66,MULOK1!$A$9:$AN$68,40,FALSE),"")</f>
        <v/>
      </c>
      <c r="O66" s="160" t="str">
        <f>IFERROR(VLOOKUP(A66,MULOK2!$A$9:$AN$68,40,FALSE),"")</f>
        <v/>
      </c>
      <c r="P66" s="160" t="str">
        <f>IFERROR(VLOOKUP(A66,MULOK3!$A$9:$AN$68,40,FALSE),"")</f>
        <v/>
      </c>
      <c r="Q66" s="160" t="str">
        <f>IFERROR(VLOOKUP(A66,MULOK4!$A$9:$AN$68,40,FALSE),"")</f>
        <v/>
      </c>
      <c r="R66" s="160" t="str">
        <f>IFERROR(VLOOKUP(A66,MULOK5!$A$9:$AN$68,40,FALSE),"")</f>
        <v/>
      </c>
      <c r="S66" s="161"/>
      <c r="T66" s="162"/>
      <c r="U66" s="29" t="str">
        <f t="shared" si="5"/>
        <v/>
      </c>
      <c r="V66" s="90"/>
    </row>
    <row r="67" spans="1:22" hidden="1" x14ac:dyDescent="0.25">
      <c r="A67" s="159">
        <f>'Identitas Siswa'!A66</f>
        <v>59</v>
      </c>
      <c r="B67" s="159" t="str">
        <f>IF('Identitas Siswa'!D66=0,"",'Identitas Siswa'!D66)</f>
        <v/>
      </c>
      <c r="C67" s="160" t="str">
        <f>IFERROR(VLOOKUP(A67,AGAMA!$A$9:$AN$68,40,FALSE),"")</f>
        <v/>
      </c>
      <c r="D67" s="160" t="str">
        <f>IFERROR(VLOOKUP(A67,PANCASILA!$A$9:$AN$68,40,FALSE),"")</f>
        <v/>
      </c>
      <c r="E67" s="160" t="str">
        <f>IFERROR(VLOOKUP(A67,INDONESIA!$A$9:$AN$68,40,FALSE),"")</f>
        <v/>
      </c>
      <c r="F67" s="160" t="str">
        <f>IFERROR(VLOOKUP(A67,MATEMATIKA!$A$9:$AN$68,40,FALSE),"")</f>
        <v/>
      </c>
      <c r="G67" s="160" t="str">
        <f>IFERROR(VLOOKUP(A67,IPAS!$A$9:$AN$68,40,FALSE),"")</f>
        <v/>
      </c>
      <c r="H67" s="160" t="str">
        <f t="shared" ca="1" si="0"/>
        <v/>
      </c>
      <c r="I67" s="160" t="str">
        <f t="shared" ca="1" si="1"/>
        <v/>
      </c>
      <c r="J67" s="160" t="str">
        <f t="shared" ca="1" si="2"/>
        <v/>
      </c>
      <c r="K67" s="160" t="str">
        <f t="shared" ca="1" si="3"/>
        <v/>
      </c>
      <c r="L67" s="160" t="str">
        <f>IFERROR(VLOOKUP(A67,PJOK!$A$9:$AN$68,40,FALSE),"")</f>
        <v/>
      </c>
      <c r="M67" s="160" t="str">
        <f>IFERROR(VLOOKUP(A67,INGGRIS!$A$9:$AN$68,40,FALSE),"")</f>
        <v/>
      </c>
      <c r="N67" s="160" t="str">
        <f>IFERROR(VLOOKUP(A67,MULOK1!$A$9:$AN$68,40,FALSE),"")</f>
        <v/>
      </c>
      <c r="O67" s="160" t="str">
        <f>IFERROR(VLOOKUP(A67,MULOK2!$A$9:$AN$68,40,FALSE),"")</f>
        <v/>
      </c>
      <c r="P67" s="160" t="str">
        <f>IFERROR(VLOOKUP(A67,MULOK3!$A$9:$AN$68,40,FALSE),"")</f>
        <v/>
      </c>
      <c r="Q67" s="160" t="str">
        <f>IFERROR(VLOOKUP(A67,MULOK4!$A$9:$AN$68,40,FALSE),"")</f>
        <v/>
      </c>
      <c r="R67" s="160" t="str">
        <f>IFERROR(VLOOKUP(A67,MULOK5!$A$9:$AN$68,40,FALSE),"")</f>
        <v/>
      </c>
      <c r="S67" s="161"/>
      <c r="T67" s="162"/>
      <c r="U67" s="29" t="str">
        <f t="shared" si="5"/>
        <v/>
      </c>
      <c r="V67" s="90"/>
    </row>
    <row r="68" spans="1:22" hidden="1" x14ac:dyDescent="0.25">
      <c r="A68" s="159">
        <f>'Identitas Siswa'!A67</f>
        <v>60</v>
      </c>
      <c r="B68" s="159" t="str">
        <f>IF('Identitas Siswa'!D67=0,"",'Identitas Siswa'!D67)</f>
        <v/>
      </c>
      <c r="C68" s="160" t="str">
        <f>IFERROR(VLOOKUP(A68,AGAMA!$A$9:$AN$68,40,FALSE),"")</f>
        <v/>
      </c>
      <c r="D68" s="160" t="str">
        <f>IFERROR(VLOOKUP(A68,PANCASILA!$A$9:$AN$68,40,FALSE),"")</f>
        <v/>
      </c>
      <c r="E68" s="160" t="str">
        <f>IFERROR(VLOOKUP(A68,INDONESIA!$A$9:$AN$68,40,FALSE),"")</f>
        <v/>
      </c>
      <c r="F68" s="160" t="str">
        <f>IFERROR(VLOOKUP(A68,MATEMATIKA!$A$9:$AN$68,40,FALSE),"")</f>
        <v/>
      </c>
      <c r="G68" s="160" t="str">
        <f>IFERROR(VLOOKUP(A68,IPAS!$A$9:$AN$68,40,FALSE),"")</f>
        <v/>
      </c>
      <c r="H68" s="160" t="str">
        <f t="shared" ca="1" si="0"/>
        <v/>
      </c>
      <c r="I68" s="160" t="str">
        <f t="shared" ca="1" si="1"/>
        <v/>
      </c>
      <c r="J68" s="160" t="str">
        <f t="shared" ca="1" si="2"/>
        <v/>
      </c>
      <c r="K68" s="160" t="str">
        <f t="shared" ca="1" si="3"/>
        <v/>
      </c>
      <c r="L68" s="160" t="str">
        <f>IFERROR(VLOOKUP(A68,PJOK!$A$9:$AN$68,40,FALSE),"")</f>
        <v/>
      </c>
      <c r="M68" s="160" t="str">
        <f>IFERROR(VLOOKUP(A68,INGGRIS!$A$9:$AN$68,40,FALSE),"")</f>
        <v/>
      </c>
      <c r="N68" s="160" t="str">
        <f>IFERROR(VLOOKUP(A68,MULOK1!$A$9:$AN$68,40,FALSE),"")</f>
        <v/>
      </c>
      <c r="O68" s="160" t="str">
        <f>IFERROR(VLOOKUP(A68,MULOK2!$A$9:$AN$68,40,FALSE),"")</f>
        <v/>
      </c>
      <c r="P68" s="160" t="str">
        <f>IFERROR(VLOOKUP(A68,MULOK3!$A$9:$AN$68,40,FALSE),"")</f>
        <v/>
      </c>
      <c r="Q68" s="160" t="str">
        <f>IFERROR(VLOOKUP(A68,MULOK4!$A$9:$AN$68,40,FALSE),"")</f>
        <v/>
      </c>
      <c r="R68" s="160" t="str">
        <f>IFERROR(VLOOKUP(A68,MULOK5!$A$9:$AN$68,40,FALSE),"")</f>
        <v/>
      </c>
      <c r="S68" s="161"/>
      <c r="T68" s="162"/>
      <c r="U68" s="29" t="str">
        <f t="shared" si="5"/>
        <v/>
      </c>
      <c r="V68" s="90"/>
    </row>
    <row r="69" spans="1:22" x14ac:dyDescent="0.25">
      <c r="A69" s="259" t="s">
        <v>435</v>
      </c>
      <c r="B69" s="259"/>
      <c r="C69" s="161">
        <f>IF(SUM(C9:C68)=0,"",SUM(C9:C68))</f>
        <v>169</v>
      </c>
      <c r="D69" s="161">
        <f t="shared" ref="D69:R69" si="6">IF(SUM(D9:D68)=0,"",SUM(D9:D68))</f>
        <v>170</v>
      </c>
      <c r="E69" s="161">
        <f t="shared" si="6"/>
        <v>170</v>
      </c>
      <c r="F69" s="161">
        <f t="shared" si="6"/>
        <v>170</v>
      </c>
      <c r="G69" s="161">
        <f t="shared" si="6"/>
        <v>170</v>
      </c>
      <c r="H69" s="161">
        <f t="shared" ca="1" si="6"/>
        <v>170</v>
      </c>
      <c r="I69" s="161">
        <f t="shared" ca="1" si="6"/>
        <v>170</v>
      </c>
      <c r="J69" s="161">
        <f t="shared" ca="1" si="6"/>
        <v>170</v>
      </c>
      <c r="K69" s="161">
        <f t="shared" ca="1" si="6"/>
        <v>170</v>
      </c>
      <c r="L69" s="161">
        <f t="shared" si="6"/>
        <v>170</v>
      </c>
      <c r="M69" s="161">
        <f t="shared" si="6"/>
        <v>170</v>
      </c>
      <c r="N69" s="161">
        <f t="shared" si="6"/>
        <v>170</v>
      </c>
      <c r="O69" s="161">
        <f t="shared" si="6"/>
        <v>170</v>
      </c>
      <c r="P69" s="161">
        <f t="shared" si="6"/>
        <v>170</v>
      </c>
      <c r="Q69" s="161">
        <f t="shared" si="6"/>
        <v>170</v>
      </c>
      <c r="R69" s="161">
        <f t="shared" si="6"/>
        <v>170</v>
      </c>
      <c r="S69" s="163"/>
      <c r="T69" s="163"/>
      <c r="U69" s="163"/>
      <c r="V69" s="90"/>
    </row>
    <row r="70" spans="1:22" x14ac:dyDescent="0.25">
      <c r="A70" s="259" t="s">
        <v>436</v>
      </c>
      <c r="B70" s="259"/>
      <c r="C70" s="162">
        <f>IFERROR(AVERAGE(C9:C68),"")</f>
        <v>84.5</v>
      </c>
      <c r="D70" s="162">
        <f t="shared" ref="D70:R70" si="7">IFERROR(AVERAGE(D9:D68),"")</f>
        <v>85</v>
      </c>
      <c r="E70" s="162">
        <f t="shared" si="7"/>
        <v>85</v>
      </c>
      <c r="F70" s="162">
        <f t="shared" si="7"/>
        <v>85</v>
      </c>
      <c r="G70" s="162">
        <f t="shared" si="7"/>
        <v>85</v>
      </c>
      <c r="H70" s="162">
        <f t="shared" ca="1" si="7"/>
        <v>85</v>
      </c>
      <c r="I70" s="162">
        <f t="shared" ca="1" si="7"/>
        <v>85</v>
      </c>
      <c r="J70" s="162">
        <f t="shared" ca="1" si="7"/>
        <v>85</v>
      </c>
      <c r="K70" s="162">
        <f t="shared" ca="1" si="7"/>
        <v>85</v>
      </c>
      <c r="L70" s="162">
        <f t="shared" si="7"/>
        <v>85</v>
      </c>
      <c r="M70" s="162">
        <f t="shared" si="7"/>
        <v>85</v>
      </c>
      <c r="N70" s="162">
        <f t="shared" si="7"/>
        <v>85</v>
      </c>
      <c r="O70" s="162">
        <f t="shared" si="7"/>
        <v>85</v>
      </c>
      <c r="P70" s="162">
        <f t="shared" si="7"/>
        <v>85</v>
      </c>
      <c r="Q70" s="162">
        <f t="shared" si="7"/>
        <v>85</v>
      </c>
      <c r="R70" s="162">
        <f t="shared" si="7"/>
        <v>85</v>
      </c>
      <c r="S70" s="158"/>
      <c r="T70" s="158"/>
      <c r="U70" s="158"/>
      <c r="V70" s="90"/>
    </row>
    <row r="71" spans="1:22" x14ac:dyDescent="0.25">
      <c r="A71" s="259" t="s">
        <v>437</v>
      </c>
      <c r="B71" s="259"/>
      <c r="C71" s="164">
        <f>IF(C70="","",C70/100)</f>
        <v>0.84499999999999997</v>
      </c>
      <c r="D71" s="164">
        <f t="shared" ref="D71:R71" si="8">IF(D70="","",D70/100)</f>
        <v>0.85</v>
      </c>
      <c r="E71" s="164">
        <f t="shared" si="8"/>
        <v>0.85</v>
      </c>
      <c r="F71" s="164">
        <f t="shared" si="8"/>
        <v>0.85</v>
      </c>
      <c r="G71" s="164">
        <f t="shared" si="8"/>
        <v>0.85</v>
      </c>
      <c r="H71" s="164">
        <f t="shared" ca="1" si="8"/>
        <v>0.85</v>
      </c>
      <c r="I71" s="164">
        <f t="shared" ca="1" si="8"/>
        <v>0.85</v>
      </c>
      <c r="J71" s="164">
        <f t="shared" ca="1" si="8"/>
        <v>0.85</v>
      </c>
      <c r="K71" s="164">
        <f t="shared" ca="1" si="8"/>
        <v>0.85</v>
      </c>
      <c r="L71" s="164">
        <f t="shared" si="8"/>
        <v>0.85</v>
      </c>
      <c r="M71" s="164">
        <f t="shared" si="8"/>
        <v>0.85</v>
      </c>
      <c r="N71" s="164">
        <f t="shared" si="8"/>
        <v>0.85</v>
      </c>
      <c r="O71" s="164">
        <f t="shared" si="8"/>
        <v>0.85</v>
      </c>
      <c r="P71" s="164">
        <f t="shared" si="8"/>
        <v>0.85</v>
      </c>
      <c r="Q71" s="164">
        <f t="shared" si="8"/>
        <v>0.85</v>
      </c>
      <c r="R71" s="164">
        <f t="shared" si="8"/>
        <v>0.85</v>
      </c>
      <c r="S71" s="158"/>
      <c r="T71" s="158"/>
      <c r="U71" s="158"/>
      <c r="V71" s="90"/>
    </row>
    <row r="72" spans="1:22" x14ac:dyDescent="0.25">
      <c r="A72" s="259" t="s">
        <v>438</v>
      </c>
      <c r="B72" s="259"/>
      <c r="C72" s="160">
        <f>MAX(C9:C68)</f>
        <v>89</v>
      </c>
      <c r="D72" s="160">
        <f t="shared" ref="D72:R72" si="9">MAX(D9:D68)</f>
        <v>90</v>
      </c>
      <c r="E72" s="160">
        <f t="shared" si="9"/>
        <v>90</v>
      </c>
      <c r="F72" s="160">
        <f t="shared" si="9"/>
        <v>90</v>
      </c>
      <c r="G72" s="160">
        <f t="shared" si="9"/>
        <v>90</v>
      </c>
      <c r="H72" s="160">
        <f t="shared" ca="1" si="9"/>
        <v>90</v>
      </c>
      <c r="I72" s="160">
        <f t="shared" ca="1" si="9"/>
        <v>90</v>
      </c>
      <c r="J72" s="160">
        <f t="shared" ca="1" si="9"/>
        <v>90</v>
      </c>
      <c r="K72" s="160">
        <f t="shared" ca="1" si="9"/>
        <v>90</v>
      </c>
      <c r="L72" s="160">
        <f t="shared" si="9"/>
        <v>90</v>
      </c>
      <c r="M72" s="160">
        <f t="shared" si="9"/>
        <v>90</v>
      </c>
      <c r="N72" s="160">
        <f t="shared" si="9"/>
        <v>90</v>
      </c>
      <c r="O72" s="160">
        <f t="shared" si="9"/>
        <v>90</v>
      </c>
      <c r="P72" s="160">
        <f t="shared" si="9"/>
        <v>90</v>
      </c>
      <c r="Q72" s="160">
        <f t="shared" si="9"/>
        <v>90</v>
      </c>
      <c r="R72" s="160">
        <f t="shared" si="9"/>
        <v>90</v>
      </c>
      <c r="S72" s="158"/>
      <c r="T72" s="158"/>
      <c r="U72" s="158"/>
      <c r="V72" s="90"/>
    </row>
    <row r="73" spans="1:22" x14ac:dyDescent="0.25">
      <c r="A73" s="259" t="s">
        <v>439</v>
      </c>
      <c r="B73" s="259"/>
      <c r="C73" s="160">
        <f>MIN(C9:C68)</f>
        <v>80</v>
      </c>
      <c r="D73" s="160">
        <f t="shared" ref="D73:R73" si="10">MIN(D9:D68)</f>
        <v>80</v>
      </c>
      <c r="E73" s="160">
        <f t="shared" si="10"/>
        <v>80</v>
      </c>
      <c r="F73" s="160">
        <f t="shared" si="10"/>
        <v>80</v>
      </c>
      <c r="G73" s="160">
        <f t="shared" si="10"/>
        <v>80</v>
      </c>
      <c r="H73" s="160">
        <f t="shared" ca="1" si="10"/>
        <v>80</v>
      </c>
      <c r="I73" s="160">
        <f t="shared" ca="1" si="10"/>
        <v>80</v>
      </c>
      <c r="J73" s="160">
        <f t="shared" ca="1" si="10"/>
        <v>80</v>
      </c>
      <c r="K73" s="160">
        <f t="shared" ca="1" si="10"/>
        <v>80</v>
      </c>
      <c r="L73" s="160">
        <f t="shared" si="10"/>
        <v>80</v>
      </c>
      <c r="M73" s="160">
        <f t="shared" si="10"/>
        <v>80</v>
      </c>
      <c r="N73" s="160">
        <f t="shared" si="10"/>
        <v>80</v>
      </c>
      <c r="O73" s="160">
        <f t="shared" si="10"/>
        <v>80</v>
      </c>
      <c r="P73" s="160">
        <f t="shared" si="10"/>
        <v>80</v>
      </c>
      <c r="Q73" s="160">
        <f t="shared" si="10"/>
        <v>80</v>
      </c>
      <c r="R73" s="160">
        <f t="shared" si="10"/>
        <v>80</v>
      </c>
      <c r="S73" s="158"/>
      <c r="T73" s="158"/>
      <c r="U73" s="158"/>
      <c r="V73" s="90"/>
    </row>
    <row r="74" spans="1:22" x14ac:dyDescent="0.25">
      <c r="A74" s="90"/>
      <c r="B74" s="90"/>
      <c r="C74" s="9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158"/>
      <c r="T74" s="158"/>
      <c r="U74" s="158"/>
      <c r="V74" s="90"/>
    </row>
    <row r="75" spans="1:22" x14ac:dyDescent="0.25">
      <c r="A75" s="90"/>
      <c r="B75" s="90"/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158"/>
      <c r="T75" s="158"/>
      <c r="U75" s="158"/>
      <c r="V75" s="90"/>
    </row>
    <row r="76" spans="1:22" ht="15.75" x14ac:dyDescent="0.25">
      <c r="A76" s="90"/>
      <c r="B76" s="91" t="s">
        <v>403</v>
      </c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4" t="str">
        <f>'Profil Sekolah'!D27&amp;", "&amp;'Profil Sekolah'!D28</f>
        <v>Sukabumi, 26 Juni 2026</v>
      </c>
      <c r="N76" s="90"/>
      <c r="O76" s="90"/>
      <c r="P76" s="90"/>
      <c r="Q76" s="90"/>
      <c r="R76" s="90"/>
      <c r="S76" s="158"/>
      <c r="T76" s="158"/>
      <c r="U76" s="158"/>
      <c r="V76" s="90"/>
    </row>
    <row r="77" spans="1:22" ht="15.75" x14ac:dyDescent="0.25">
      <c r="A77" s="90"/>
      <c r="B77" s="91" t="s">
        <v>404</v>
      </c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4" t="s">
        <v>401</v>
      </c>
      <c r="N77" s="90"/>
      <c r="O77" s="90"/>
      <c r="P77" s="90"/>
      <c r="Q77" s="90"/>
      <c r="R77" s="90"/>
      <c r="S77" s="158"/>
      <c r="T77" s="158"/>
      <c r="U77" s="158"/>
      <c r="V77" s="90"/>
    </row>
    <row r="78" spans="1:22" x14ac:dyDescent="0.25">
      <c r="A78" s="90"/>
      <c r="B78" s="90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158"/>
      <c r="T78" s="158"/>
      <c r="U78" s="158"/>
      <c r="V78" s="90"/>
    </row>
    <row r="79" spans="1:22" x14ac:dyDescent="0.25">
      <c r="A79" s="90"/>
      <c r="B79" s="90"/>
      <c r="C79" s="9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158"/>
      <c r="T79" s="158"/>
      <c r="U79" s="158"/>
      <c r="V79" s="90"/>
    </row>
    <row r="80" spans="1:22" x14ac:dyDescent="0.25">
      <c r="A80" s="90"/>
      <c r="B80" s="90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158"/>
      <c r="T80" s="158"/>
      <c r="U80" s="158"/>
      <c r="V80" s="90"/>
    </row>
    <row r="81" spans="1:22" x14ac:dyDescent="0.25">
      <c r="A81" s="90"/>
      <c r="B81" s="90"/>
      <c r="C81" s="9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158"/>
      <c r="T81" s="158"/>
      <c r="U81" s="158"/>
      <c r="V81" s="90"/>
    </row>
    <row r="82" spans="1:22" ht="15.75" x14ac:dyDescent="0.25">
      <c r="A82" s="90"/>
      <c r="B82" s="91" t="str">
        <f>'Profil Sekolah'!D23</f>
        <v>Asep Agus Permana, S.Pd., SD.</v>
      </c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4" t="str">
        <f>'Profil Sekolah'!D25</f>
        <v>Adnan Abdillah, S.Pd.</v>
      </c>
      <c r="N82" s="90"/>
      <c r="O82" s="90"/>
      <c r="P82" s="90"/>
      <c r="Q82" s="90"/>
      <c r="R82" s="90"/>
      <c r="S82" s="158"/>
      <c r="T82" s="158"/>
      <c r="U82" s="158"/>
      <c r="V82" s="90"/>
    </row>
    <row r="83" spans="1:22" ht="15.75" x14ac:dyDescent="0.25">
      <c r="A83" s="90"/>
      <c r="B83" s="91" t="str">
        <f>"NIP "&amp;'Profil Sekolah'!D24</f>
        <v>NIP 196908272000121000</v>
      </c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4" t="str">
        <f>"NIP "&amp;'Profil Sekolah'!D26</f>
        <v>NIP -</v>
      </c>
      <c r="N83" s="90"/>
      <c r="O83" s="90"/>
      <c r="P83" s="90"/>
      <c r="Q83" s="90"/>
      <c r="R83" s="90"/>
      <c r="S83" s="158"/>
      <c r="T83" s="158"/>
      <c r="U83" s="158"/>
      <c r="V83" s="90"/>
    </row>
    <row r="84" spans="1:22" ht="4.5" customHeight="1" x14ac:dyDescent="0.25"/>
    <row r="85" spans="1:22" x14ac:dyDescent="0.25"/>
  </sheetData>
  <sheetProtection sheet="1" objects="1" scenarios="1"/>
  <mergeCells count="24">
    <mergeCell ref="G6:G7"/>
    <mergeCell ref="A69:B69"/>
    <mergeCell ref="N6:R6"/>
    <mergeCell ref="A2:U2"/>
    <mergeCell ref="N3:S3"/>
    <mergeCell ref="N4:S4"/>
    <mergeCell ref="U5:U8"/>
    <mergeCell ref="C8:R8"/>
    <mergeCell ref="B5:B8"/>
    <mergeCell ref="A5:A8"/>
    <mergeCell ref="C5:R5"/>
    <mergeCell ref="S5:S8"/>
    <mergeCell ref="T5:T8"/>
    <mergeCell ref="L6:L7"/>
    <mergeCell ref="M6:M7"/>
    <mergeCell ref="H6:K6"/>
    <mergeCell ref="C6:C7"/>
    <mergeCell ref="D6:D7"/>
    <mergeCell ref="A71:B71"/>
    <mergeCell ref="A72:B72"/>
    <mergeCell ref="A73:B73"/>
    <mergeCell ref="E6:E7"/>
    <mergeCell ref="F6:F7"/>
    <mergeCell ref="A70:B70"/>
  </mergeCells>
  <conditionalFormatting sqref="U9:U68">
    <cfRule type="cellIs" dxfId="512" priority="1" operator="between">
      <formula>1</formula>
      <formula>10</formula>
    </cfRule>
  </conditionalFormatting>
  <pageMargins left="0.7" right="0.7" top="0.75" bottom="0.75" header="0.3" footer="0.3"/>
  <pageSetup scale="65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5311" r:id="rId4" name="CommandButton2">
          <controlPr defaultSize="0" autoLine="0" autoPict="0" r:id="rId5">
            <anchor moveWithCells="1">
              <from>
                <xdr:col>18</xdr:col>
                <xdr:colOff>180975</xdr:colOff>
                <xdr:row>0</xdr:row>
                <xdr:rowOff>47625</xdr:rowOff>
              </from>
              <to>
                <xdr:col>20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55311" r:id="rId4" name="CommandButton2"/>
      </mc:Fallback>
    </mc:AlternateContent>
    <mc:AlternateContent xmlns:mc="http://schemas.openxmlformats.org/markup-compatibility/2006">
      <mc:Choice Requires="x14">
        <control shapeId="55300" r:id="rId6" name="SeniMusik">
          <controlPr defaultSize="0" autoLine="0" linkedCell="Z1" r:id="rId7">
            <anchor moveWithCells="1">
              <from>
                <xdr:col>1</xdr:col>
                <xdr:colOff>876300</xdr:colOff>
                <xdr:row>0</xdr:row>
                <xdr:rowOff>47625</xdr:rowOff>
              </from>
              <to>
                <xdr:col>2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55300" r:id="rId6" name="SeniMusik"/>
      </mc:Fallback>
    </mc:AlternateContent>
    <mc:AlternateContent xmlns:mc="http://schemas.openxmlformats.org/markup-compatibility/2006">
      <mc:Choice Requires="x14">
        <control shapeId="55298" r:id="rId8" name="CommandButton1">
          <controlPr defaultSize="0" autoLine="0" autoPict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819150</xdr:colOff>
                <xdr:row>0</xdr:row>
                <xdr:rowOff>838200</xdr:rowOff>
              </to>
            </anchor>
          </controlPr>
        </control>
      </mc:Choice>
      <mc:Fallback>
        <control shapeId="55298" r:id="rId8" name="CommandButton1"/>
      </mc:Fallback>
    </mc:AlternateContent>
    <mc:AlternateContent xmlns:mc="http://schemas.openxmlformats.org/markup-compatibility/2006">
      <mc:Choice Requires="x14">
        <control shapeId="55301" r:id="rId10" name="SeniTari">
          <controlPr defaultSize="0" autoLine="0" linkedCell="Z2" r:id="rId11">
            <anchor moveWithCells="1">
              <from>
                <xdr:col>1</xdr:col>
                <xdr:colOff>876300</xdr:colOff>
                <xdr:row>0</xdr:row>
                <xdr:rowOff>323850</xdr:rowOff>
              </from>
              <to>
                <xdr:col>2</xdr:col>
                <xdr:colOff>95250</xdr:colOff>
                <xdr:row>0</xdr:row>
                <xdr:rowOff>571500</xdr:rowOff>
              </to>
            </anchor>
          </controlPr>
        </control>
      </mc:Choice>
      <mc:Fallback>
        <control shapeId="55301" r:id="rId10" name="SeniTari"/>
      </mc:Fallback>
    </mc:AlternateContent>
    <mc:AlternateContent xmlns:mc="http://schemas.openxmlformats.org/markup-compatibility/2006">
      <mc:Choice Requires="x14">
        <control shapeId="55302" r:id="rId12" name="SeniRupa">
          <controlPr defaultSize="0" autoLine="0" linkedCell="Z3" r:id="rId13">
            <anchor moveWithCells="1">
              <from>
                <xdr:col>1</xdr:col>
                <xdr:colOff>876300</xdr:colOff>
                <xdr:row>0</xdr:row>
                <xdr:rowOff>600075</xdr:rowOff>
              </from>
              <to>
                <xdr:col>2</xdr:col>
                <xdr:colOff>104775</xdr:colOff>
                <xdr:row>0</xdr:row>
                <xdr:rowOff>838200</xdr:rowOff>
              </to>
            </anchor>
          </controlPr>
        </control>
      </mc:Choice>
      <mc:Fallback>
        <control shapeId="55302" r:id="rId12" name="SeniRupa"/>
      </mc:Fallback>
    </mc:AlternateContent>
    <mc:AlternateContent xmlns:mc="http://schemas.openxmlformats.org/markup-compatibility/2006">
      <mc:Choice Requires="x14">
        <control shapeId="55303" r:id="rId14" name="SeniTeater">
          <controlPr defaultSize="0" autoLine="0" linkedCell="Z4" r:id="rId15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457200</xdr:colOff>
                <xdr:row>0</xdr:row>
                <xdr:rowOff>285750</xdr:rowOff>
              </to>
            </anchor>
          </controlPr>
        </control>
      </mc:Choice>
      <mc:Fallback>
        <control shapeId="55303" r:id="rId14" name="SeniTeater"/>
      </mc:Fallback>
    </mc:AlternateContent>
    <mc:AlternateContent xmlns:mc="http://schemas.openxmlformats.org/markup-compatibility/2006">
      <mc:Choice Requires="x14">
        <control shapeId="55306" r:id="rId16" name="Mulok1">
          <controlPr defaultSize="0" autoLine="0" linkedCell="Z5" r:id="rId17">
            <anchor moveWithCells="1">
              <from>
                <xdr:col>2</xdr:col>
                <xdr:colOff>142875</xdr:colOff>
                <xdr:row>0</xdr:row>
                <xdr:rowOff>323850</xdr:rowOff>
              </from>
              <to>
                <xdr:col>3</xdr:col>
                <xdr:colOff>447675</xdr:colOff>
                <xdr:row>0</xdr:row>
                <xdr:rowOff>571500</xdr:rowOff>
              </to>
            </anchor>
          </controlPr>
        </control>
      </mc:Choice>
      <mc:Fallback>
        <control shapeId="55306" r:id="rId16" name="Mulok1"/>
      </mc:Fallback>
    </mc:AlternateContent>
    <mc:AlternateContent xmlns:mc="http://schemas.openxmlformats.org/markup-compatibility/2006">
      <mc:Choice Requires="x14">
        <control shapeId="55307" r:id="rId18" name="Mulok2">
          <controlPr defaultSize="0" autoLine="0" linkedCell="Z6" r:id="rId19">
            <anchor moveWithCells="1">
              <from>
                <xdr:col>2</xdr:col>
                <xdr:colOff>142875</xdr:colOff>
                <xdr:row>0</xdr:row>
                <xdr:rowOff>600075</xdr:rowOff>
              </from>
              <to>
                <xdr:col>3</xdr:col>
                <xdr:colOff>447675</xdr:colOff>
                <xdr:row>0</xdr:row>
                <xdr:rowOff>847725</xdr:rowOff>
              </to>
            </anchor>
          </controlPr>
        </control>
      </mc:Choice>
      <mc:Fallback>
        <control shapeId="55307" r:id="rId18" name="Mulok2"/>
      </mc:Fallback>
    </mc:AlternateContent>
    <mc:AlternateContent xmlns:mc="http://schemas.openxmlformats.org/markup-compatibility/2006">
      <mc:Choice Requires="x14">
        <control shapeId="55308" r:id="rId20" name="Mulok3">
          <controlPr defaultSize="0" autoLine="0" linkedCell="Z7" r:id="rId21">
            <anchor moveWithCells="1">
              <from>
                <xdr:col>3</xdr:col>
                <xdr:colOff>504825</xdr:colOff>
                <xdr:row>0</xdr:row>
                <xdr:rowOff>47625</xdr:rowOff>
              </from>
              <to>
                <xdr:col>5</xdr:col>
                <xdr:colOff>200025</xdr:colOff>
                <xdr:row>0</xdr:row>
                <xdr:rowOff>285750</xdr:rowOff>
              </to>
            </anchor>
          </controlPr>
        </control>
      </mc:Choice>
      <mc:Fallback>
        <control shapeId="55308" r:id="rId20" name="Mulok3"/>
      </mc:Fallback>
    </mc:AlternateContent>
    <mc:AlternateContent xmlns:mc="http://schemas.openxmlformats.org/markup-compatibility/2006">
      <mc:Choice Requires="x14">
        <control shapeId="55309" r:id="rId22" name="Mulok4">
          <controlPr defaultSize="0" autoLine="0" linkedCell="Z8" r:id="rId23">
            <anchor moveWithCells="1">
              <from>
                <xdr:col>3</xdr:col>
                <xdr:colOff>504825</xdr:colOff>
                <xdr:row>0</xdr:row>
                <xdr:rowOff>323850</xdr:rowOff>
              </from>
              <to>
                <xdr:col>5</xdr:col>
                <xdr:colOff>200025</xdr:colOff>
                <xdr:row>0</xdr:row>
                <xdr:rowOff>561975</xdr:rowOff>
              </to>
            </anchor>
          </controlPr>
        </control>
      </mc:Choice>
      <mc:Fallback>
        <control shapeId="55309" r:id="rId22" name="Mulok4"/>
      </mc:Fallback>
    </mc:AlternateContent>
    <mc:AlternateContent xmlns:mc="http://schemas.openxmlformats.org/markup-compatibility/2006">
      <mc:Choice Requires="x14">
        <control shapeId="55310" r:id="rId24" name="Mulok5">
          <controlPr defaultSize="0" autoLine="0" linkedCell="Z9" r:id="rId25">
            <anchor moveWithCells="1">
              <from>
                <xdr:col>3</xdr:col>
                <xdr:colOff>495300</xdr:colOff>
                <xdr:row>0</xdr:row>
                <xdr:rowOff>600075</xdr:rowOff>
              </from>
              <to>
                <xdr:col>5</xdr:col>
                <xdr:colOff>190500</xdr:colOff>
                <xdr:row>0</xdr:row>
                <xdr:rowOff>847725</xdr:rowOff>
              </to>
            </anchor>
          </controlPr>
        </control>
      </mc:Choice>
      <mc:Fallback>
        <control shapeId="55310" r:id="rId24" name="Mulok5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50EB-3C59-4AEC-B346-88172469E686}">
  <sheetPr codeName="Sheet4"/>
  <dimension ref="A1:XFC1048576"/>
  <sheetViews>
    <sheetView zoomScaleNormal="100" workbookViewId="0">
      <selection activeCell="F21" sqref="F21"/>
    </sheetView>
  </sheetViews>
  <sheetFormatPr defaultColWidth="0" defaultRowHeight="15" zeroHeight="1" x14ac:dyDescent="0.25"/>
  <cols>
    <col min="1" max="1" width="3.28515625" style="15" customWidth="1"/>
    <col min="2" max="2" width="4.140625" customWidth="1"/>
    <col min="3" max="3" width="3.5703125" customWidth="1"/>
    <col min="4" max="4" width="47.28515625" customWidth="1"/>
    <col min="5" max="5" width="9.140625" customWidth="1"/>
    <col min="6" max="6" width="31.42578125" customWidth="1"/>
    <col min="7" max="8" width="9.140625" customWidth="1"/>
    <col min="9" max="9" width="4.140625" customWidth="1"/>
    <col min="10" max="16383" width="9.140625" hidden="1"/>
    <col min="16384" max="16384" width="14.28515625" hidden="1"/>
  </cols>
  <sheetData>
    <row r="1" spans="2:12" x14ac:dyDescent="0.25">
      <c r="B1" s="15"/>
      <c r="C1" s="15"/>
      <c r="D1" s="15"/>
      <c r="E1" s="15"/>
      <c r="F1" s="15"/>
      <c r="G1" s="15"/>
      <c r="H1" s="15"/>
      <c r="I1" s="15"/>
    </row>
    <row r="2" spans="2:12" x14ac:dyDescent="0.25">
      <c r="B2" s="15"/>
      <c r="C2" s="15"/>
      <c r="D2" s="15"/>
      <c r="E2" s="15"/>
      <c r="F2" s="15"/>
      <c r="G2" s="15"/>
      <c r="H2" s="15"/>
      <c r="I2" s="15"/>
    </row>
    <row r="3" spans="2:12" s="15" customFormat="1" ht="15.75" thickBot="1" x14ac:dyDescent="0.3"/>
    <row r="4" spans="2:12" s="15" customFormat="1" ht="40.5" customHeight="1" x14ac:dyDescent="0.25">
      <c r="B4" s="31" t="s">
        <v>81</v>
      </c>
      <c r="C4" s="277" t="s">
        <v>82</v>
      </c>
      <c r="D4" s="278"/>
      <c r="F4" s="276" t="s">
        <v>98</v>
      </c>
      <c r="G4" s="277"/>
      <c r="H4" s="278"/>
    </row>
    <row r="5" spans="2:12" s="15" customFormat="1" ht="20.100000000000001" customHeight="1" x14ac:dyDescent="0.25">
      <c r="B5" s="28">
        <v>1</v>
      </c>
      <c r="C5" s="269" t="s">
        <v>93</v>
      </c>
      <c r="D5" s="270"/>
      <c r="F5" s="33" t="s">
        <v>99</v>
      </c>
      <c r="G5" s="32" t="s">
        <v>102</v>
      </c>
      <c r="H5" s="34">
        <v>1</v>
      </c>
    </row>
    <row r="6" spans="2:12" s="15" customFormat="1" ht="20.100000000000001" customHeight="1" x14ac:dyDescent="0.25">
      <c r="B6" s="28">
        <v>2</v>
      </c>
      <c r="C6" s="269" t="s">
        <v>94</v>
      </c>
      <c r="D6" s="270"/>
      <c r="F6" s="33" t="s">
        <v>100</v>
      </c>
      <c r="G6" s="32" t="s">
        <v>103</v>
      </c>
      <c r="H6" s="34">
        <v>1</v>
      </c>
    </row>
    <row r="7" spans="2:12" s="15" customFormat="1" ht="20.100000000000001" customHeight="1" thickBot="1" x14ac:dyDescent="0.3">
      <c r="B7" s="28">
        <v>3</v>
      </c>
      <c r="C7" s="269" t="s">
        <v>95</v>
      </c>
      <c r="D7" s="270"/>
      <c r="F7" s="35" t="s">
        <v>101</v>
      </c>
      <c r="G7" s="36" t="s">
        <v>104</v>
      </c>
      <c r="H7" s="37">
        <v>2</v>
      </c>
    </row>
    <row r="8" spans="2:12" s="15" customFormat="1" ht="20.100000000000001" customHeight="1" thickBot="1" x14ac:dyDescent="0.3">
      <c r="B8" s="28">
        <v>4</v>
      </c>
      <c r="C8" s="269" t="s">
        <v>96</v>
      </c>
      <c r="D8" s="270"/>
      <c r="F8" s="273" t="str">
        <f>"NA RAPOR = ((" &amp; H5 &amp; "*S. TP )+( " &amp; H6 &amp; "*S. LM) + (" &amp; H7 &amp; "*S. AS))/" &amp; SUM(H5:H7)</f>
        <v>NA RAPOR = ((1*S. TP )+( 1*S. LM) + (2*S. AS))/4</v>
      </c>
      <c r="G8" s="274"/>
      <c r="H8" s="275"/>
    </row>
    <row r="9" spans="2:12" s="15" customFormat="1" ht="20.100000000000001" customHeight="1" x14ac:dyDescent="0.25">
      <c r="B9" s="28">
        <v>5</v>
      </c>
      <c r="C9" s="269" t="s">
        <v>97</v>
      </c>
      <c r="D9" s="270"/>
    </row>
    <row r="10" spans="2:12" s="15" customFormat="1" ht="20.100000000000001" customHeight="1" x14ac:dyDescent="0.25">
      <c r="B10" s="279" t="s">
        <v>83</v>
      </c>
      <c r="C10" s="280"/>
      <c r="D10" s="281"/>
    </row>
    <row r="11" spans="2:12" s="15" customFormat="1" ht="20.100000000000001" customHeight="1" x14ac:dyDescent="0.25">
      <c r="B11" s="271">
        <v>6</v>
      </c>
      <c r="C11" s="29" t="s">
        <v>88</v>
      </c>
      <c r="D11" s="5" t="s">
        <v>109</v>
      </c>
      <c r="L11" s="15" t="b">
        <v>1</v>
      </c>
    </row>
    <row r="12" spans="2:12" s="15" customFormat="1" ht="20.100000000000001" customHeight="1" x14ac:dyDescent="0.25">
      <c r="B12" s="271"/>
      <c r="C12" s="29" t="s">
        <v>89</v>
      </c>
      <c r="D12" s="5" t="s">
        <v>110</v>
      </c>
      <c r="L12" s="15" t="b">
        <v>1</v>
      </c>
    </row>
    <row r="13" spans="2:12" s="15" customFormat="1" ht="20.100000000000001" customHeight="1" x14ac:dyDescent="0.25">
      <c r="B13" s="271"/>
      <c r="C13" s="29" t="s">
        <v>90</v>
      </c>
      <c r="D13" s="5" t="s">
        <v>84</v>
      </c>
      <c r="L13" s="15" t="b">
        <v>1</v>
      </c>
    </row>
    <row r="14" spans="2:12" s="15" customFormat="1" ht="20.100000000000001" customHeight="1" x14ac:dyDescent="0.25">
      <c r="B14" s="271"/>
      <c r="C14" s="29" t="s">
        <v>91</v>
      </c>
      <c r="D14" s="5" t="s">
        <v>111</v>
      </c>
      <c r="L14" s="15" t="b">
        <v>1</v>
      </c>
    </row>
    <row r="15" spans="2:12" s="15" customFormat="1" ht="20.100000000000001" customHeight="1" x14ac:dyDescent="0.25">
      <c r="B15" s="28">
        <v>7</v>
      </c>
      <c r="C15" s="269" t="s">
        <v>85</v>
      </c>
      <c r="D15" s="270"/>
    </row>
    <row r="16" spans="2:12" s="15" customFormat="1" ht="20.100000000000001" customHeight="1" x14ac:dyDescent="0.25">
      <c r="B16" s="28">
        <v>8</v>
      </c>
      <c r="C16" s="269" t="s">
        <v>86</v>
      </c>
      <c r="D16" s="270"/>
    </row>
    <row r="17" spans="2:12" s="15" customFormat="1" ht="20.100000000000001" customHeight="1" x14ac:dyDescent="0.25">
      <c r="B17" s="279" t="s">
        <v>87</v>
      </c>
      <c r="C17" s="280"/>
      <c r="D17" s="281"/>
    </row>
    <row r="18" spans="2:12" s="15" customFormat="1" ht="20.100000000000001" customHeight="1" thickBot="1" x14ac:dyDescent="0.3">
      <c r="B18" s="271">
        <v>9</v>
      </c>
      <c r="C18" s="29" t="s">
        <v>88</v>
      </c>
      <c r="D18" s="5" t="s">
        <v>112</v>
      </c>
      <c r="K18" s="15">
        <v>1</v>
      </c>
      <c r="L18" s="15">
        <v>1</v>
      </c>
    </row>
    <row r="19" spans="2:12" s="15" customFormat="1" ht="20.100000000000001" hidden="1" customHeight="1" x14ac:dyDescent="0.25">
      <c r="B19" s="271"/>
      <c r="C19" s="29" t="s">
        <v>89</v>
      </c>
      <c r="D19" s="5" t="s">
        <v>420</v>
      </c>
      <c r="L19" s="15">
        <v>2</v>
      </c>
    </row>
    <row r="20" spans="2:12" s="15" customFormat="1" ht="20.100000000000001" hidden="1" customHeight="1" x14ac:dyDescent="0.25">
      <c r="B20" s="271"/>
      <c r="C20" s="29" t="s">
        <v>90</v>
      </c>
      <c r="D20" s="5" t="s">
        <v>421</v>
      </c>
      <c r="L20" s="15">
        <v>3</v>
      </c>
    </row>
    <row r="21" spans="2:12" s="15" customFormat="1" ht="20.100000000000001" hidden="1" customHeight="1" x14ac:dyDescent="0.25">
      <c r="B21" s="271"/>
      <c r="C21" s="29" t="s">
        <v>91</v>
      </c>
      <c r="D21" s="5" t="s">
        <v>422</v>
      </c>
      <c r="L21" s="15">
        <v>4</v>
      </c>
    </row>
    <row r="22" spans="2:12" s="15" customFormat="1" ht="20.100000000000001" hidden="1" customHeight="1" thickBot="1" x14ac:dyDescent="0.3">
      <c r="B22" s="272"/>
      <c r="C22" s="30" t="s">
        <v>92</v>
      </c>
      <c r="D22" s="6" t="s">
        <v>423</v>
      </c>
      <c r="L22" s="15">
        <v>5</v>
      </c>
    </row>
    <row r="23" spans="2:12" s="15" customFormat="1" x14ac:dyDescent="0.25">
      <c r="B23" s="41"/>
      <c r="C23" s="41"/>
      <c r="D23" s="41"/>
    </row>
    <row r="1048576" ht="13.5" hidden="1" customHeight="1" x14ac:dyDescent="0.25"/>
  </sheetData>
  <mergeCells count="14">
    <mergeCell ref="C15:D15"/>
    <mergeCell ref="C16:D16"/>
    <mergeCell ref="B18:B22"/>
    <mergeCell ref="F8:H8"/>
    <mergeCell ref="F4:H4"/>
    <mergeCell ref="B17:D17"/>
    <mergeCell ref="B10:D10"/>
    <mergeCell ref="B11:B14"/>
    <mergeCell ref="C4:D4"/>
    <mergeCell ref="C5:D5"/>
    <mergeCell ref="C6:D6"/>
    <mergeCell ref="C7:D7"/>
    <mergeCell ref="C8:D8"/>
    <mergeCell ref="C9:D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MENU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47625</xdr:rowOff>
              </from>
              <to>
                <xdr:col>3</xdr:col>
                <xdr:colOff>647700</xdr:colOff>
                <xdr:row>2</xdr:row>
                <xdr:rowOff>133350</xdr:rowOff>
              </to>
            </anchor>
          </controlPr>
        </control>
      </mc:Choice>
      <mc:Fallback>
        <control shapeId="6150" r:id="rId3" name="MENU"/>
      </mc:Fallback>
    </mc:AlternateContent>
    <mc:AlternateContent xmlns:mc="http://schemas.openxmlformats.org/markup-compatibility/2006">
      <mc:Choice Requires="x14">
        <control shapeId="6145" r:id="rId5" name="Check Box 1">
          <controlPr defaultSize="0" autoFill="0" autoLine="0" autoPict="0" macro="[0]!AturTampilanSeni">
            <anchor moveWithCells="1">
              <from>
                <xdr:col>3</xdr:col>
                <xdr:colOff>200025</xdr:colOff>
                <xdr:row>9</xdr:row>
                <xdr:rowOff>19050</xdr:rowOff>
              </from>
              <to>
                <xdr:col>3</xdr:col>
                <xdr:colOff>990600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6" name="Check Box 2">
          <controlPr defaultSize="0" autoFill="0" autoLine="0" autoPict="0" macro="[0]!AturTampilanSeni">
            <anchor moveWithCells="1">
              <from>
                <xdr:col>3</xdr:col>
                <xdr:colOff>962025</xdr:colOff>
                <xdr:row>9</xdr:row>
                <xdr:rowOff>19050</xdr:rowOff>
              </from>
              <to>
                <xdr:col>3</xdr:col>
                <xdr:colOff>1752600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Check Box 3">
          <controlPr defaultSize="0" autoFill="0" autoLine="0" autoPict="0" macro="[0]!AturTampilanSeni">
            <anchor moveWithCells="1">
              <from>
                <xdr:col>3</xdr:col>
                <xdr:colOff>1609725</xdr:colOff>
                <xdr:row>9</xdr:row>
                <xdr:rowOff>19050</xdr:rowOff>
              </from>
              <to>
                <xdr:col>3</xdr:col>
                <xdr:colOff>2400300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8" name="Check Box 4">
          <controlPr defaultSize="0" autoFill="0" autoLine="0" autoPict="0" macro="[0]!AturTampilanSeni">
            <anchor moveWithCells="1">
              <from>
                <xdr:col>3</xdr:col>
                <xdr:colOff>2333625</xdr:colOff>
                <xdr:row>9</xdr:row>
                <xdr:rowOff>19050</xdr:rowOff>
              </from>
              <to>
                <xdr:col>3</xdr:col>
                <xdr:colOff>3124200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9" name="Drop Down 5">
          <controlPr defaultSize="0" autoLine="0" autoPict="0" macro="[0]!AturTampilanMulok">
            <anchor moveWithCells="1">
              <from>
                <xdr:col>3</xdr:col>
                <xdr:colOff>390525</xdr:colOff>
                <xdr:row>16</xdr:row>
                <xdr:rowOff>19050</xdr:rowOff>
              </from>
              <to>
                <xdr:col>3</xdr:col>
                <xdr:colOff>857250</xdr:colOff>
                <xdr:row>16</xdr:row>
                <xdr:rowOff>219075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8F69-A7A8-4F4C-BF78-2BA2573CB752}">
  <sheetPr codeName="Sheet5"/>
  <dimension ref="A1:DT25"/>
  <sheetViews>
    <sheetView zoomScale="70" zoomScaleNormal="70" workbookViewId="0">
      <pane xSplit="4" topLeftCell="E1" activePane="topRight" state="frozen"/>
      <selection pane="topRight" activeCell="G5" sqref="G5:G24"/>
    </sheetView>
  </sheetViews>
  <sheetFormatPr defaultColWidth="0" defaultRowHeight="15" zeroHeight="1" x14ac:dyDescent="0.25"/>
  <cols>
    <col min="1" max="5" width="9.140625" style="15" customWidth="1"/>
    <col min="6" max="6" width="27.7109375" style="15" customWidth="1"/>
    <col min="7" max="7" width="6" customWidth="1"/>
    <col min="8" max="8" width="50" customWidth="1"/>
    <col min="9" max="9" width="9.140625" style="15" customWidth="1"/>
    <col min="10" max="10" width="27.7109375" style="15" customWidth="1"/>
    <col min="11" max="11" width="6" customWidth="1"/>
    <col min="12" max="12" width="50" customWidth="1"/>
    <col min="13" max="13" width="9.140625" style="15" customWidth="1"/>
    <col min="14" max="14" width="27.7109375" customWidth="1"/>
    <col min="15" max="15" width="6" customWidth="1"/>
    <col min="16" max="16" width="50" customWidth="1"/>
    <col min="17" max="17" width="9.140625" style="15" customWidth="1"/>
    <col min="18" max="18" width="27.7109375" customWidth="1"/>
    <col min="19" max="19" width="6" customWidth="1"/>
    <col min="20" max="20" width="50" customWidth="1"/>
    <col min="21" max="21" width="9.140625" style="15" customWidth="1"/>
    <col min="22" max="22" width="27.7109375" style="15" customWidth="1"/>
    <col min="23" max="23" width="6" customWidth="1"/>
    <col min="24" max="24" width="50" customWidth="1"/>
    <col min="25" max="25" width="9.140625" style="15" customWidth="1"/>
    <col min="26" max="26" width="27.7109375" customWidth="1"/>
    <col min="27" max="27" width="6" customWidth="1"/>
    <col min="28" max="28" width="50" customWidth="1"/>
    <col min="29" max="29" width="9.140625" style="15" customWidth="1"/>
    <col min="30" max="30" width="27.7109375" customWidth="1"/>
    <col min="31" max="31" width="6" customWidth="1"/>
    <col min="32" max="32" width="50" customWidth="1"/>
    <col min="33" max="33" width="9.140625" style="15" customWidth="1"/>
    <col min="34" max="34" width="27.7109375" customWidth="1"/>
    <col min="35" max="35" width="6" customWidth="1"/>
    <col min="36" max="36" width="50" customWidth="1"/>
    <col min="37" max="37" width="9.140625" style="15" customWidth="1"/>
    <col min="38" max="38" width="27.7109375" customWidth="1"/>
    <col min="39" max="39" width="6" customWidth="1"/>
    <col min="40" max="40" width="50" customWidth="1"/>
    <col min="41" max="41" width="9.140625" style="15" customWidth="1"/>
    <col min="42" max="42" width="27.7109375" customWidth="1"/>
    <col min="43" max="43" width="6" customWidth="1"/>
    <col min="44" max="44" width="50" customWidth="1"/>
    <col min="45" max="45" width="9.140625" style="15" customWidth="1"/>
    <col min="46" max="46" width="27.7109375" customWidth="1"/>
    <col min="47" max="47" width="6" customWidth="1"/>
    <col min="48" max="48" width="50" customWidth="1"/>
    <col min="49" max="49" width="9.140625" style="15" customWidth="1"/>
    <col min="50" max="50" width="27.7109375" customWidth="1"/>
    <col min="51" max="51" width="6" customWidth="1"/>
    <col min="52" max="52" width="50" customWidth="1"/>
    <col min="53" max="53" width="9.140625" style="15" customWidth="1"/>
    <col min="54" max="54" width="27.7109375" customWidth="1"/>
    <col min="55" max="55" width="6" customWidth="1"/>
    <col min="56" max="56" width="50" customWidth="1"/>
    <col min="57" max="57" width="9.140625" style="15" customWidth="1"/>
    <col min="58" max="58" width="27.7109375" customWidth="1"/>
    <col min="59" max="59" width="6" customWidth="1"/>
    <col min="60" max="60" width="50" customWidth="1"/>
    <col min="61" max="61" width="9.140625" style="15" customWidth="1"/>
    <col min="62" max="62" width="27.7109375" customWidth="1"/>
    <col min="63" max="63" width="6" customWidth="1"/>
    <col min="64" max="64" width="50" customWidth="1"/>
    <col min="65" max="65" width="9.140625" style="15" customWidth="1"/>
    <col min="66" max="66" width="27.7109375" customWidth="1"/>
    <col min="67" max="67" width="6" customWidth="1"/>
    <col min="68" max="68" width="50" customWidth="1"/>
    <col min="69" max="69" width="9.140625" style="15" customWidth="1"/>
    <col min="70" max="70" width="27.7109375" hidden="1" customWidth="1"/>
    <col min="71" max="71" width="6" hidden="1" customWidth="1"/>
    <col min="72" max="72" width="50" hidden="1" customWidth="1"/>
    <col min="73" max="73" width="9.140625" hidden="1" customWidth="1"/>
    <col min="74" max="74" width="27.7109375" hidden="1" customWidth="1"/>
    <col min="75" max="75" width="6" hidden="1" customWidth="1"/>
    <col min="76" max="76" width="50" hidden="1" customWidth="1"/>
    <col min="77" max="77" width="9.140625" hidden="1" customWidth="1"/>
    <col min="78" max="78" width="27.7109375" hidden="1" customWidth="1"/>
    <col min="79" max="79" width="6" hidden="1" customWidth="1"/>
    <col min="80" max="80" width="50" hidden="1" customWidth="1"/>
    <col min="81" max="81" width="9.140625" hidden="1" customWidth="1"/>
    <col min="82" max="82" width="27.7109375" hidden="1" customWidth="1"/>
    <col min="83" max="83" width="6" hidden="1" customWidth="1"/>
    <col min="84" max="84" width="50" hidden="1" customWidth="1"/>
    <col min="85" max="85" width="9.140625" hidden="1" customWidth="1"/>
    <col min="86" max="86" width="27.7109375" hidden="1" customWidth="1"/>
    <col min="87" max="87" width="6" hidden="1" customWidth="1"/>
    <col min="88" max="88" width="50" hidden="1" customWidth="1"/>
    <col min="89" max="89" width="9.140625" hidden="1" customWidth="1"/>
    <col min="90" max="90" width="27.7109375" hidden="1" customWidth="1"/>
    <col min="91" max="91" width="6" hidden="1" customWidth="1"/>
    <col min="92" max="92" width="50" hidden="1" customWidth="1"/>
    <col min="93" max="93" width="9.140625" hidden="1" customWidth="1"/>
    <col min="94" max="94" width="27.7109375" hidden="1" customWidth="1"/>
    <col min="95" max="95" width="6" hidden="1" customWidth="1"/>
    <col min="96" max="96" width="50" hidden="1" customWidth="1"/>
    <col min="97" max="97" width="9.140625" hidden="1" customWidth="1"/>
    <col min="98" max="98" width="27.7109375" hidden="1" customWidth="1"/>
    <col min="99" max="99" width="6" hidden="1" customWidth="1"/>
    <col min="100" max="100" width="50" hidden="1" customWidth="1"/>
    <col min="101" max="101" width="9.140625" hidden="1" customWidth="1"/>
    <col min="102" max="102" width="27.7109375" hidden="1" customWidth="1"/>
    <col min="103" max="103" width="6" hidden="1" customWidth="1"/>
    <col min="104" max="104" width="50" hidden="1" customWidth="1"/>
    <col min="105" max="105" width="9.140625" hidden="1" customWidth="1"/>
    <col min="106" max="106" width="27.7109375" hidden="1" customWidth="1"/>
    <col min="107" max="107" width="6" hidden="1" customWidth="1"/>
    <col min="108" max="108" width="50" hidden="1" customWidth="1"/>
    <col min="109" max="109" width="9.140625" hidden="1" customWidth="1"/>
    <col min="110" max="110" width="27.7109375" hidden="1" customWidth="1"/>
    <col min="111" max="111" width="6" hidden="1" customWidth="1"/>
    <col min="112" max="112" width="50" hidden="1" customWidth="1"/>
    <col min="113" max="113" width="9.140625" hidden="1" customWidth="1"/>
    <col min="114" max="114" width="27.7109375" hidden="1" customWidth="1"/>
    <col min="115" max="115" width="6" hidden="1" customWidth="1"/>
    <col min="116" max="116" width="50" hidden="1" customWidth="1"/>
    <col min="117" max="117" width="9.140625" hidden="1" customWidth="1"/>
    <col min="118" max="118" width="27.7109375" hidden="1" customWidth="1"/>
    <col min="119" max="119" width="6" hidden="1" customWidth="1"/>
    <col min="120" max="120" width="50" hidden="1" customWidth="1"/>
    <col min="121" max="121" width="9.140625" hidden="1" customWidth="1"/>
    <col min="122" max="122" width="27.7109375" hidden="1" customWidth="1"/>
    <col min="123" max="123" width="6" hidden="1" customWidth="1"/>
    <col min="124" max="124" width="50" hidden="1" customWidth="1"/>
    <col min="125" max="16384" width="9.140625" hidden="1"/>
  </cols>
  <sheetData>
    <row r="1" spans="1:72" s="15" customFormat="1" x14ac:dyDescent="0.25"/>
    <row r="2" spans="1:72" s="15" customFormat="1" x14ac:dyDescent="0.25"/>
    <row r="3" spans="1:72" ht="22.5" customHeight="1" x14ac:dyDescent="0.25">
      <c r="F3" s="282" t="str">
        <f>UPPER('MAPEL &amp; BOBOT'!C5)</f>
        <v>PENDIDIKAN AGAMA DAN BUDI PEKERTI</v>
      </c>
      <c r="G3" s="282"/>
      <c r="H3" s="282"/>
      <c r="J3" s="282" t="str">
        <f>UPPER('MAPEL &amp; BOBOT'!C6)</f>
        <v>PENDIDIKAN PANCASILA</v>
      </c>
      <c r="K3" s="282"/>
      <c r="L3" s="282"/>
      <c r="N3" s="282" t="str">
        <f>UPPER('MAPEL &amp; BOBOT'!C7)</f>
        <v>BAHASA INDONESIA</v>
      </c>
      <c r="O3" s="282"/>
      <c r="P3" s="282"/>
      <c r="R3" s="282" t="str">
        <f>UPPER('MAPEL &amp; BOBOT'!C8)</f>
        <v>MATEMATIKA</v>
      </c>
      <c r="S3" s="282"/>
      <c r="T3" s="282"/>
      <c r="V3" s="282" t="str">
        <f>UPPER('MAPEL &amp; BOBOT'!C9)</f>
        <v>ILMU PENGETAHUAN ALAM DAN SOSIAL</v>
      </c>
      <c r="W3" s="282"/>
      <c r="X3" s="282"/>
      <c r="Z3" s="282" t="str">
        <f>UPPER('MAPEL &amp; BOBOT'!D11)</f>
        <v>SENI MUSIK</v>
      </c>
      <c r="AA3" s="282"/>
      <c r="AB3" s="282"/>
      <c r="AD3" s="282" t="str">
        <f>UPPER('MAPEL &amp; BOBOT'!D12)</f>
        <v>SENI TARI</v>
      </c>
      <c r="AE3" s="282"/>
      <c r="AF3" s="282"/>
      <c r="AH3" s="282" t="str">
        <f>UPPER('MAPEL &amp; BOBOT'!D13)</f>
        <v>SENI RUPA</v>
      </c>
      <c r="AI3" s="282"/>
      <c r="AJ3" s="282"/>
      <c r="AL3" s="282" t="str">
        <f>UPPER('MAPEL &amp; BOBOT'!D14)</f>
        <v>SENI TEATER</v>
      </c>
      <c r="AM3" s="282"/>
      <c r="AN3" s="282"/>
      <c r="AP3" s="282" t="str">
        <f>UPPER('MAPEL &amp; BOBOT'!C15)</f>
        <v>PENDIDIKAN JASMANI, OLAHRAGA, DAN KESEHATAN</v>
      </c>
      <c r="AQ3" s="282"/>
      <c r="AR3" s="282"/>
      <c r="AT3" s="282" t="str">
        <f>UPPER('MAPEL &amp; BOBOT'!C16)</f>
        <v>BAHASA INGGRIS</v>
      </c>
      <c r="AU3" s="282"/>
      <c r="AV3" s="282"/>
      <c r="AX3" s="282" t="str">
        <f>UPPER(IF(ISBLANK('MAPEL &amp; BOBOT'!D18),"Tidak ada mulok 1",'MAPEL &amp; BOBOT'!D18))</f>
        <v>BAHASA SUNDA</v>
      </c>
      <c r="AY3" s="282"/>
      <c r="AZ3" s="282"/>
      <c r="BB3" s="282" t="str">
        <f>UPPER(IF(ISBLANK('MAPEL &amp; BOBOT'!D19),"Tidak ada mulok 2",'MAPEL &amp; BOBOT'!D19))</f>
        <v>BAHASA JEPANG</v>
      </c>
      <c r="BC3" s="282"/>
      <c r="BD3" s="282"/>
      <c r="BF3" s="282" t="str">
        <f>UPPER(IF(ISBLANK('MAPEL &amp; BOBOT'!D20),"Tidak ada mulok 3",'MAPEL &amp; BOBOT'!D20))</f>
        <v>BAHASA JERMAN</v>
      </c>
      <c r="BG3" s="282"/>
      <c r="BH3" s="282"/>
      <c r="BJ3" s="282" t="str">
        <f>UPPER(IF(ISBLANK('MAPEL &amp; BOBOT'!D21),"Tidak ada mulok4",'MAPEL &amp; BOBOT'!D21))</f>
        <v>BAHASA MANDARIN</v>
      </c>
      <c r="BK3" s="282"/>
      <c r="BL3" s="282"/>
      <c r="BN3" s="282" t="str">
        <f>UPPER(IF(ISBLANK('MAPEL &amp; BOBOT'!D22),"Tidak ada mulok 5",'MAPEL &amp; BOBOT'!D22))</f>
        <v>BAHASA KOREA</v>
      </c>
      <c r="BO3" s="282"/>
      <c r="BP3" s="282"/>
    </row>
    <row r="4" spans="1:72" ht="28.5" customHeight="1" x14ac:dyDescent="0.25">
      <c r="F4" s="42" t="s">
        <v>106</v>
      </c>
      <c r="G4" s="43" t="s">
        <v>108</v>
      </c>
      <c r="H4" s="42" t="s">
        <v>107</v>
      </c>
      <c r="J4" s="42" t="s">
        <v>106</v>
      </c>
      <c r="K4" s="43" t="s">
        <v>108</v>
      </c>
      <c r="L4" s="42" t="s">
        <v>107</v>
      </c>
      <c r="N4" s="42" t="s">
        <v>106</v>
      </c>
      <c r="O4" s="43" t="s">
        <v>108</v>
      </c>
      <c r="P4" s="42" t="s">
        <v>107</v>
      </c>
      <c r="R4" s="42" t="s">
        <v>106</v>
      </c>
      <c r="S4" s="43" t="s">
        <v>108</v>
      </c>
      <c r="T4" s="42" t="s">
        <v>107</v>
      </c>
      <c r="V4" s="42" t="s">
        <v>106</v>
      </c>
      <c r="W4" s="43" t="s">
        <v>108</v>
      </c>
      <c r="X4" s="42" t="s">
        <v>107</v>
      </c>
      <c r="Z4" s="42" t="s">
        <v>106</v>
      </c>
      <c r="AA4" s="43" t="s">
        <v>108</v>
      </c>
      <c r="AB4" s="42" t="s">
        <v>107</v>
      </c>
      <c r="AD4" s="42" t="s">
        <v>106</v>
      </c>
      <c r="AE4" s="43" t="s">
        <v>108</v>
      </c>
      <c r="AF4" s="42" t="s">
        <v>107</v>
      </c>
      <c r="AH4" s="42" t="s">
        <v>106</v>
      </c>
      <c r="AI4" s="43" t="s">
        <v>108</v>
      </c>
      <c r="AJ4" s="42" t="s">
        <v>107</v>
      </c>
      <c r="AL4" s="42" t="s">
        <v>106</v>
      </c>
      <c r="AM4" s="43" t="s">
        <v>108</v>
      </c>
      <c r="AN4" s="42" t="s">
        <v>107</v>
      </c>
      <c r="AP4" s="42" t="s">
        <v>106</v>
      </c>
      <c r="AQ4" s="43" t="s">
        <v>108</v>
      </c>
      <c r="AR4" s="42" t="s">
        <v>107</v>
      </c>
      <c r="AT4" s="42" t="s">
        <v>106</v>
      </c>
      <c r="AU4" s="43" t="s">
        <v>108</v>
      </c>
      <c r="AV4" s="42" t="s">
        <v>107</v>
      </c>
      <c r="AX4" s="42" t="s">
        <v>106</v>
      </c>
      <c r="AY4" s="43" t="s">
        <v>108</v>
      </c>
      <c r="AZ4" s="42" t="s">
        <v>107</v>
      </c>
      <c r="BB4" s="42" t="s">
        <v>106</v>
      </c>
      <c r="BC4" s="43" t="s">
        <v>108</v>
      </c>
      <c r="BD4" s="42" t="s">
        <v>107</v>
      </c>
      <c r="BF4" s="42" t="s">
        <v>106</v>
      </c>
      <c r="BG4" s="43" t="s">
        <v>108</v>
      </c>
      <c r="BH4" s="42" t="s">
        <v>107</v>
      </c>
      <c r="BJ4" s="42" t="s">
        <v>106</v>
      </c>
      <c r="BK4" s="43" t="s">
        <v>108</v>
      </c>
      <c r="BL4" s="42" t="s">
        <v>107</v>
      </c>
      <c r="BN4" s="42" t="s">
        <v>106</v>
      </c>
      <c r="BO4" s="43" t="s">
        <v>108</v>
      </c>
      <c r="BP4" s="42" t="s">
        <v>107</v>
      </c>
    </row>
    <row r="5" spans="1:72" ht="27" customHeight="1" x14ac:dyDescent="0.25">
      <c r="A5" s="62"/>
      <c r="B5" s="62"/>
      <c r="C5" s="62"/>
      <c r="D5" s="62"/>
      <c r="E5" s="62"/>
      <c r="F5" s="48" t="s">
        <v>113</v>
      </c>
      <c r="G5" s="49" t="s">
        <v>118</v>
      </c>
      <c r="H5" s="50" t="s">
        <v>119</v>
      </c>
      <c r="I5" s="62"/>
      <c r="J5" s="48" t="s">
        <v>158</v>
      </c>
      <c r="K5" s="49" t="s">
        <v>118</v>
      </c>
      <c r="L5" s="50" t="s">
        <v>160</v>
      </c>
      <c r="M5" s="62"/>
      <c r="N5" s="48" t="s">
        <v>170</v>
      </c>
      <c r="O5" s="49" t="s">
        <v>118</v>
      </c>
      <c r="P5" s="50" t="s">
        <v>174</v>
      </c>
      <c r="Q5" s="62"/>
      <c r="R5" s="48" t="s">
        <v>194</v>
      </c>
      <c r="S5" s="49" t="s">
        <v>118</v>
      </c>
      <c r="T5" s="50" t="s">
        <v>202</v>
      </c>
      <c r="U5" s="62"/>
      <c r="V5" s="48" t="s">
        <v>222</v>
      </c>
      <c r="W5" s="49" t="s">
        <v>118</v>
      </c>
      <c r="X5" s="50" t="s">
        <v>226</v>
      </c>
      <c r="Y5" s="62"/>
      <c r="Z5" s="48" t="s">
        <v>251</v>
      </c>
      <c r="AA5" s="49" t="s">
        <v>118</v>
      </c>
      <c r="AB5" s="50" t="s">
        <v>237</v>
      </c>
      <c r="AC5" s="62"/>
      <c r="AD5" s="48" t="s">
        <v>254</v>
      </c>
      <c r="AE5" s="49" t="s">
        <v>118</v>
      </c>
      <c r="AF5" s="50" t="s">
        <v>256</v>
      </c>
      <c r="AG5" s="62"/>
      <c r="AH5" s="48" t="s">
        <v>258</v>
      </c>
      <c r="AI5" s="49" t="s">
        <v>118</v>
      </c>
      <c r="AJ5" s="50" t="s">
        <v>264</v>
      </c>
      <c r="AK5" s="62"/>
      <c r="AL5" s="48" t="s">
        <v>282</v>
      </c>
      <c r="AM5" s="49" t="s">
        <v>118</v>
      </c>
      <c r="AN5" s="50" t="s">
        <v>284</v>
      </c>
      <c r="AO5" s="62"/>
      <c r="AP5" s="48" t="s">
        <v>300</v>
      </c>
      <c r="AQ5" s="49" t="s">
        <v>118</v>
      </c>
      <c r="AR5" s="50" t="s">
        <v>305</v>
      </c>
      <c r="AS5" s="62"/>
      <c r="AT5" s="48" t="s">
        <v>310</v>
      </c>
      <c r="AU5" s="49" t="s">
        <v>118</v>
      </c>
      <c r="AV5" s="50" t="s">
        <v>315</v>
      </c>
      <c r="AW5" s="62"/>
      <c r="AX5" s="48" t="s">
        <v>325</v>
      </c>
      <c r="AY5" s="49" t="s">
        <v>118</v>
      </c>
      <c r="AZ5" s="50" t="s">
        <v>329</v>
      </c>
      <c r="BA5" s="62"/>
      <c r="BB5" s="48" t="s">
        <v>407</v>
      </c>
      <c r="BC5" s="49" t="s">
        <v>118</v>
      </c>
      <c r="BD5" s="50" t="s">
        <v>408</v>
      </c>
      <c r="BE5" s="62"/>
      <c r="BF5" s="48" t="s">
        <v>407</v>
      </c>
      <c r="BG5" s="49" t="s">
        <v>118</v>
      </c>
      <c r="BH5" s="50" t="s">
        <v>408</v>
      </c>
      <c r="BI5" s="62"/>
      <c r="BJ5" s="48" t="s">
        <v>407</v>
      </c>
      <c r="BK5" s="49" t="s">
        <v>118</v>
      </c>
      <c r="BL5" s="50" t="s">
        <v>408</v>
      </c>
      <c r="BM5" s="62"/>
      <c r="BN5" s="48" t="s">
        <v>407</v>
      </c>
      <c r="BO5" s="49" t="s">
        <v>406</v>
      </c>
      <c r="BP5" s="50" t="s">
        <v>408</v>
      </c>
      <c r="BQ5" s="62"/>
      <c r="BR5" s="47"/>
      <c r="BS5" s="47"/>
      <c r="BT5" s="47"/>
    </row>
    <row r="6" spans="1:72" ht="27" customHeight="1" x14ac:dyDescent="0.25">
      <c r="A6" s="62"/>
      <c r="B6" s="62"/>
      <c r="C6" s="62"/>
      <c r="D6" s="62"/>
      <c r="E6" s="62"/>
      <c r="F6" s="48" t="s">
        <v>114</v>
      </c>
      <c r="G6" s="49" t="s">
        <v>120</v>
      </c>
      <c r="H6" s="50" t="s">
        <v>121</v>
      </c>
      <c r="I6" s="62"/>
      <c r="J6" s="48" t="s">
        <v>159</v>
      </c>
      <c r="K6" s="49" t="s">
        <v>120</v>
      </c>
      <c r="L6" s="50" t="s">
        <v>161</v>
      </c>
      <c r="M6" s="62"/>
      <c r="N6" s="48" t="s">
        <v>171</v>
      </c>
      <c r="O6" s="49" t="s">
        <v>120</v>
      </c>
      <c r="P6" s="50" t="s">
        <v>175</v>
      </c>
      <c r="Q6" s="62"/>
      <c r="R6" s="48" t="s">
        <v>195</v>
      </c>
      <c r="S6" s="49" t="s">
        <v>120</v>
      </c>
      <c r="T6" s="50" t="s">
        <v>203</v>
      </c>
      <c r="U6" s="62"/>
      <c r="V6" s="48" t="s">
        <v>223</v>
      </c>
      <c r="W6" s="49" t="s">
        <v>120</v>
      </c>
      <c r="X6" s="50" t="s">
        <v>227</v>
      </c>
      <c r="Y6" s="62"/>
      <c r="Z6" s="48" t="s">
        <v>252</v>
      </c>
      <c r="AA6" s="49" t="s">
        <v>120</v>
      </c>
      <c r="AB6" s="50" t="s">
        <v>238</v>
      </c>
      <c r="AC6" s="62"/>
      <c r="AD6" s="48" t="s">
        <v>255</v>
      </c>
      <c r="AE6" s="49" t="s">
        <v>120</v>
      </c>
      <c r="AF6" s="50" t="s">
        <v>257</v>
      </c>
      <c r="AG6" s="62"/>
      <c r="AH6" s="48" t="s">
        <v>259</v>
      </c>
      <c r="AI6" s="49" t="s">
        <v>120</v>
      </c>
      <c r="AJ6" s="50" t="s">
        <v>265</v>
      </c>
      <c r="AK6" s="62"/>
      <c r="AL6" s="48" t="s">
        <v>283</v>
      </c>
      <c r="AM6" s="49" t="s">
        <v>120</v>
      </c>
      <c r="AN6" s="50" t="s">
        <v>285</v>
      </c>
      <c r="AO6" s="62"/>
      <c r="AP6" s="48" t="s">
        <v>301</v>
      </c>
      <c r="AQ6" s="49" t="s">
        <v>120</v>
      </c>
      <c r="AR6" s="50" t="s">
        <v>306</v>
      </c>
      <c r="AS6" s="62"/>
      <c r="AT6" s="48" t="s">
        <v>311</v>
      </c>
      <c r="AU6" s="49" t="s">
        <v>120</v>
      </c>
      <c r="AV6" s="50" t="s">
        <v>316</v>
      </c>
      <c r="AW6" s="62"/>
      <c r="AX6" s="48" t="s">
        <v>326</v>
      </c>
      <c r="AY6" s="49" t="s">
        <v>120</v>
      </c>
      <c r="AZ6" s="50" t="s">
        <v>330</v>
      </c>
      <c r="BA6" s="62"/>
      <c r="BB6" s="49"/>
      <c r="BC6" s="49" t="s">
        <v>120</v>
      </c>
      <c r="BD6" s="50" t="s">
        <v>409</v>
      </c>
      <c r="BE6" s="62"/>
      <c r="BF6" s="49"/>
      <c r="BG6" s="49" t="s">
        <v>120</v>
      </c>
      <c r="BH6" s="50" t="s">
        <v>409</v>
      </c>
      <c r="BI6" s="62"/>
      <c r="BJ6" s="49"/>
      <c r="BK6" s="49" t="s">
        <v>120</v>
      </c>
      <c r="BL6" s="50" t="s">
        <v>409</v>
      </c>
      <c r="BM6" s="62"/>
      <c r="BN6" s="49"/>
      <c r="BO6" s="49" t="s">
        <v>120</v>
      </c>
      <c r="BP6" s="50" t="s">
        <v>409</v>
      </c>
      <c r="BQ6" s="62"/>
      <c r="BR6" s="47"/>
      <c r="BS6" s="47"/>
      <c r="BT6" s="47"/>
    </row>
    <row r="7" spans="1:72" ht="27" customHeight="1" x14ac:dyDescent="0.25">
      <c r="A7" s="62"/>
      <c r="B7" s="62"/>
      <c r="C7" s="62"/>
      <c r="D7" s="62"/>
      <c r="E7" s="62"/>
      <c r="F7" s="48" t="s">
        <v>115</v>
      </c>
      <c r="G7" s="49" t="s">
        <v>122</v>
      </c>
      <c r="H7" s="50" t="s">
        <v>123</v>
      </c>
      <c r="I7" s="62"/>
      <c r="J7" s="49"/>
      <c r="K7" s="49" t="s">
        <v>122</v>
      </c>
      <c r="L7" s="50" t="s">
        <v>162</v>
      </c>
      <c r="M7" s="62"/>
      <c r="N7" s="48" t="s">
        <v>172</v>
      </c>
      <c r="O7" s="49" t="s">
        <v>122</v>
      </c>
      <c r="P7" s="50" t="s">
        <v>176</v>
      </c>
      <c r="Q7" s="62"/>
      <c r="R7" s="48" t="s">
        <v>196</v>
      </c>
      <c r="S7" s="49" t="s">
        <v>122</v>
      </c>
      <c r="T7" s="50" t="s">
        <v>204</v>
      </c>
      <c r="U7" s="62"/>
      <c r="V7" s="48" t="s">
        <v>224</v>
      </c>
      <c r="W7" s="49" t="s">
        <v>122</v>
      </c>
      <c r="X7" s="50" t="s">
        <v>228</v>
      </c>
      <c r="Y7" s="62"/>
      <c r="Z7" s="48" t="s">
        <v>253</v>
      </c>
      <c r="AA7" s="49" t="s">
        <v>122</v>
      </c>
      <c r="AB7" s="50" t="s">
        <v>239</v>
      </c>
      <c r="AC7" s="62"/>
      <c r="AD7" s="49"/>
      <c r="AE7" s="49"/>
      <c r="AF7" s="50"/>
      <c r="AG7" s="62"/>
      <c r="AH7" s="48" t="s">
        <v>260</v>
      </c>
      <c r="AI7" s="49" t="s">
        <v>122</v>
      </c>
      <c r="AJ7" s="50" t="s">
        <v>266</v>
      </c>
      <c r="AK7" s="62"/>
      <c r="AL7" s="49"/>
      <c r="AM7" s="49" t="s">
        <v>122</v>
      </c>
      <c r="AN7" s="50" t="s">
        <v>286</v>
      </c>
      <c r="AO7" s="62"/>
      <c r="AP7" s="48" t="s">
        <v>302</v>
      </c>
      <c r="AQ7" s="49" t="s">
        <v>122</v>
      </c>
      <c r="AR7" s="50" t="s">
        <v>307</v>
      </c>
      <c r="AS7" s="62"/>
      <c r="AT7" s="48" t="s">
        <v>312</v>
      </c>
      <c r="AU7" s="49" t="s">
        <v>122</v>
      </c>
      <c r="AV7" s="50" t="s">
        <v>317</v>
      </c>
      <c r="AW7" s="62"/>
      <c r="AX7" s="48" t="s">
        <v>327</v>
      </c>
      <c r="AY7" s="49" t="s">
        <v>122</v>
      </c>
      <c r="AZ7" s="50" t="s">
        <v>331</v>
      </c>
      <c r="BA7" s="62"/>
      <c r="BB7" s="49"/>
      <c r="BC7" s="49"/>
      <c r="BD7" s="50"/>
      <c r="BE7" s="62"/>
      <c r="BF7" s="49"/>
      <c r="BG7" s="49"/>
      <c r="BH7" s="50"/>
      <c r="BI7" s="62"/>
      <c r="BJ7" s="49"/>
      <c r="BK7" s="49"/>
      <c r="BL7" s="50"/>
      <c r="BM7" s="62"/>
      <c r="BN7" s="49"/>
      <c r="BO7" s="49"/>
      <c r="BP7" s="50"/>
      <c r="BQ7" s="62"/>
      <c r="BR7" s="47"/>
      <c r="BS7" s="47"/>
      <c r="BT7" s="47"/>
    </row>
    <row r="8" spans="1:72" ht="27" customHeight="1" x14ac:dyDescent="0.25">
      <c r="A8" s="62"/>
      <c r="B8" s="62"/>
      <c r="C8" s="62"/>
      <c r="D8" s="62"/>
      <c r="E8" s="62"/>
      <c r="F8" s="48" t="s">
        <v>116</v>
      </c>
      <c r="G8" s="49" t="s">
        <v>124</v>
      </c>
      <c r="H8" s="50" t="s">
        <v>125</v>
      </c>
      <c r="I8" s="62"/>
      <c r="J8" s="49"/>
      <c r="K8" s="49" t="s">
        <v>124</v>
      </c>
      <c r="L8" s="50" t="s">
        <v>163</v>
      </c>
      <c r="M8" s="62"/>
      <c r="N8" s="48" t="s">
        <v>173</v>
      </c>
      <c r="O8" s="49" t="s">
        <v>124</v>
      </c>
      <c r="P8" s="50" t="s">
        <v>177</v>
      </c>
      <c r="Q8" s="62"/>
      <c r="R8" s="48" t="s">
        <v>197</v>
      </c>
      <c r="S8" s="49" t="s">
        <v>124</v>
      </c>
      <c r="T8" s="50" t="s">
        <v>205</v>
      </c>
      <c r="U8" s="62"/>
      <c r="V8" s="48" t="s">
        <v>225</v>
      </c>
      <c r="W8" s="49" t="s">
        <v>124</v>
      </c>
      <c r="X8" s="50" t="s">
        <v>229</v>
      </c>
      <c r="Y8" s="62"/>
      <c r="Z8" s="49"/>
      <c r="AA8" s="49" t="s">
        <v>124</v>
      </c>
      <c r="AB8" s="50" t="s">
        <v>240</v>
      </c>
      <c r="AC8" s="62"/>
      <c r="AD8" s="49"/>
      <c r="AE8" s="49"/>
      <c r="AF8" s="50"/>
      <c r="AG8" s="62"/>
      <c r="AH8" s="48" t="s">
        <v>261</v>
      </c>
      <c r="AI8" s="49" t="s">
        <v>124</v>
      </c>
      <c r="AJ8" s="50" t="s">
        <v>267</v>
      </c>
      <c r="AK8" s="62"/>
      <c r="AL8" s="49"/>
      <c r="AM8" s="49" t="s">
        <v>124</v>
      </c>
      <c r="AN8" s="50" t="s">
        <v>287</v>
      </c>
      <c r="AO8" s="62"/>
      <c r="AP8" s="48" t="s">
        <v>303</v>
      </c>
      <c r="AQ8" s="49" t="s">
        <v>124</v>
      </c>
      <c r="AR8" s="50" t="s">
        <v>308</v>
      </c>
      <c r="AS8" s="62"/>
      <c r="AT8" s="48" t="s">
        <v>313</v>
      </c>
      <c r="AU8" s="49" t="s">
        <v>124</v>
      </c>
      <c r="AV8" s="50" t="s">
        <v>318</v>
      </c>
      <c r="AW8" s="62"/>
      <c r="AX8" s="48" t="s">
        <v>328</v>
      </c>
      <c r="AY8" s="49" t="s">
        <v>124</v>
      </c>
      <c r="AZ8" s="50" t="s">
        <v>332</v>
      </c>
      <c r="BA8" s="62"/>
      <c r="BB8" s="49"/>
      <c r="BC8" s="49"/>
      <c r="BD8" s="50"/>
      <c r="BE8" s="62"/>
      <c r="BF8" s="49"/>
      <c r="BG8" s="49"/>
      <c r="BH8" s="50"/>
      <c r="BI8" s="62"/>
      <c r="BJ8" s="49"/>
      <c r="BK8" s="49"/>
      <c r="BL8" s="50"/>
      <c r="BM8" s="62"/>
      <c r="BN8" s="49"/>
      <c r="BO8" s="49"/>
      <c r="BP8" s="50"/>
      <c r="BQ8" s="62"/>
      <c r="BR8" s="47"/>
      <c r="BS8" s="47"/>
      <c r="BT8" s="47"/>
    </row>
    <row r="9" spans="1:72" ht="27" customHeight="1" x14ac:dyDescent="0.25">
      <c r="A9" s="62"/>
      <c r="B9" s="62"/>
      <c r="C9" s="62"/>
      <c r="D9" s="62"/>
      <c r="E9" s="62"/>
      <c r="F9" s="48" t="s">
        <v>117</v>
      </c>
      <c r="G9" s="49" t="s">
        <v>126</v>
      </c>
      <c r="H9" s="50" t="s">
        <v>127</v>
      </c>
      <c r="I9" s="62"/>
      <c r="J9" s="49"/>
      <c r="K9" s="49" t="s">
        <v>126</v>
      </c>
      <c r="L9" s="50" t="s">
        <v>164</v>
      </c>
      <c r="M9" s="62"/>
      <c r="N9" s="49"/>
      <c r="O9" s="49" t="s">
        <v>126</v>
      </c>
      <c r="P9" s="50" t="s">
        <v>178</v>
      </c>
      <c r="Q9" s="62"/>
      <c r="R9" s="48" t="s">
        <v>198</v>
      </c>
      <c r="S9" s="49" t="s">
        <v>126</v>
      </c>
      <c r="T9" s="50" t="s">
        <v>206</v>
      </c>
      <c r="U9" s="62"/>
      <c r="V9" s="49"/>
      <c r="W9" s="49" t="s">
        <v>126</v>
      </c>
      <c r="X9" s="50" t="s">
        <v>230</v>
      </c>
      <c r="Y9" s="62"/>
      <c r="Z9" s="49"/>
      <c r="AA9" s="49" t="s">
        <v>126</v>
      </c>
      <c r="AB9" s="50" t="s">
        <v>241</v>
      </c>
      <c r="AC9" s="62"/>
      <c r="AD9" s="49"/>
      <c r="AE9" s="49"/>
      <c r="AF9" s="50"/>
      <c r="AG9" s="62"/>
      <c r="AH9" s="48" t="s">
        <v>262</v>
      </c>
      <c r="AI9" s="49" t="s">
        <v>126</v>
      </c>
      <c r="AJ9" s="50" t="s">
        <v>268</v>
      </c>
      <c r="AK9" s="62"/>
      <c r="AL9" s="49"/>
      <c r="AM9" s="49" t="s">
        <v>126</v>
      </c>
      <c r="AN9" s="50" t="s">
        <v>288</v>
      </c>
      <c r="AO9" s="62"/>
      <c r="AP9" s="48" t="s">
        <v>304</v>
      </c>
      <c r="AQ9" s="49" t="s">
        <v>126</v>
      </c>
      <c r="AR9" s="50" t="s">
        <v>309</v>
      </c>
      <c r="AS9" s="62"/>
      <c r="AT9" s="48" t="s">
        <v>314</v>
      </c>
      <c r="AU9" s="49" t="s">
        <v>126</v>
      </c>
      <c r="AV9" s="50" t="s">
        <v>319</v>
      </c>
      <c r="AW9" s="62"/>
      <c r="AX9" s="49"/>
      <c r="AY9" s="49" t="s">
        <v>126</v>
      </c>
      <c r="AZ9" s="50" t="s">
        <v>333</v>
      </c>
      <c r="BA9" s="62"/>
      <c r="BB9" s="49"/>
      <c r="BC9" s="49"/>
      <c r="BD9" s="50"/>
      <c r="BE9" s="62"/>
      <c r="BF9" s="49"/>
      <c r="BG9" s="49"/>
      <c r="BH9" s="50"/>
      <c r="BI9" s="62"/>
      <c r="BJ9" s="49"/>
      <c r="BK9" s="49"/>
      <c r="BL9" s="50"/>
      <c r="BM9" s="62"/>
      <c r="BN9" s="49"/>
      <c r="BO9" s="49"/>
      <c r="BP9" s="50"/>
      <c r="BQ9" s="62"/>
      <c r="BR9" s="47"/>
      <c r="BS9" s="47"/>
      <c r="BT9" s="47"/>
    </row>
    <row r="10" spans="1:72" ht="27" customHeight="1" x14ac:dyDescent="0.25">
      <c r="A10" s="62"/>
      <c r="B10" s="62"/>
      <c r="C10" s="62"/>
      <c r="D10" s="62"/>
      <c r="E10" s="62"/>
      <c r="F10" s="49"/>
      <c r="G10" s="49" t="s">
        <v>128</v>
      </c>
      <c r="H10" s="50" t="s">
        <v>129</v>
      </c>
      <c r="I10" s="62"/>
      <c r="J10" s="49"/>
      <c r="K10" s="49" t="s">
        <v>128</v>
      </c>
      <c r="L10" s="50" t="s">
        <v>165</v>
      </c>
      <c r="M10" s="62"/>
      <c r="N10" s="49"/>
      <c r="O10" s="49" t="s">
        <v>128</v>
      </c>
      <c r="P10" s="50" t="s">
        <v>179</v>
      </c>
      <c r="Q10" s="62"/>
      <c r="R10" s="48" t="s">
        <v>199</v>
      </c>
      <c r="S10" s="49" t="s">
        <v>128</v>
      </c>
      <c r="T10" s="50" t="s">
        <v>207</v>
      </c>
      <c r="U10" s="62"/>
      <c r="V10" s="49"/>
      <c r="W10" s="49" t="s">
        <v>128</v>
      </c>
      <c r="X10" s="50" t="s">
        <v>231</v>
      </c>
      <c r="Y10" s="62"/>
      <c r="Z10" s="49"/>
      <c r="AA10" s="49" t="s">
        <v>128</v>
      </c>
      <c r="AB10" s="50" t="s">
        <v>242</v>
      </c>
      <c r="AC10" s="62"/>
      <c r="AD10" s="49"/>
      <c r="AE10" s="49"/>
      <c r="AF10" s="50"/>
      <c r="AG10" s="62"/>
      <c r="AH10" s="48" t="s">
        <v>263</v>
      </c>
      <c r="AI10" s="49" t="s">
        <v>128</v>
      </c>
      <c r="AJ10" s="50" t="s">
        <v>269</v>
      </c>
      <c r="AK10" s="62"/>
      <c r="AL10" s="49"/>
      <c r="AM10" s="49" t="s">
        <v>128</v>
      </c>
      <c r="AN10" s="50" t="s">
        <v>289</v>
      </c>
      <c r="AO10" s="62"/>
      <c r="AP10" s="49"/>
      <c r="AQ10" s="49"/>
      <c r="AR10" s="50"/>
      <c r="AS10" s="62"/>
      <c r="AT10" s="49"/>
      <c r="AU10" s="49" t="s">
        <v>128</v>
      </c>
      <c r="AV10" s="50" t="s">
        <v>320</v>
      </c>
      <c r="AW10" s="62"/>
      <c r="AX10" s="49"/>
      <c r="AY10" s="49" t="s">
        <v>128</v>
      </c>
      <c r="AZ10" s="50" t="s">
        <v>334</v>
      </c>
      <c r="BA10" s="62"/>
      <c r="BB10" s="49"/>
      <c r="BC10" s="49"/>
      <c r="BD10" s="50"/>
      <c r="BE10" s="62"/>
      <c r="BF10" s="49"/>
      <c r="BG10" s="49"/>
      <c r="BH10" s="50"/>
      <c r="BI10" s="62"/>
      <c r="BJ10" s="49"/>
      <c r="BK10" s="49"/>
      <c r="BL10" s="50"/>
      <c r="BM10" s="62"/>
      <c r="BN10" s="49"/>
      <c r="BO10" s="49"/>
      <c r="BP10" s="50"/>
      <c r="BQ10" s="62"/>
      <c r="BR10" s="47"/>
      <c r="BS10" s="47"/>
      <c r="BT10" s="47"/>
    </row>
    <row r="11" spans="1:72" ht="27" customHeight="1" x14ac:dyDescent="0.25">
      <c r="A11" s="62"/>
      <c r="B11" s="62"/>
      <c r="C11" s="62"/>
      <c r="D11" s="62"/>
      <c r="E11" s="62"/>
      <c r="F11" s="49"/>
      <c r="G11" s="49" t="s">
        <v>130</v>
      </c>
      <c r="H11" s="50" t="s">
        <v>131</v>
      </c>
      <c r="I11" s="62"/>
      <c r="J11" s="49"/>
      <c r="K11" s="49" t="s">
        <v>130</v>
      </c>
      <c r="L11" s="50" t="s">
        <v>166</v>
      </c>
      <c r="M11" s="62"/>
      <c r="N11" s="49"/>
      <c r="O11" s="49" t="s">
        <v>130</v>
      </c>
      <c r="P11" s="50" t="s">
        <v>180</v>
      </c>
      <c r="Q11" s="62"/>
      <c r="R11" s="48" t="s">
        <v>200</v>
      </c>
      <c r="S11" s="49" t="s">
        <v>130</v>
      </c>
      <c r="T11" s="50" t="s">
        <v>208</v>
      </c>
      <c r="U11" s="62"/>
      <c r="V11" s="49"/>
      <c r="W11" s="49" t="s">
        <v>130</v>
      </c>
      <c r="X11" s="50" t="s">
        <v>232</v>
      </c>
      <c r="Y11" s="62"/>
      <c r="Z11" s="49"/>
      <c r="AA11" s="49" t="s">
        <v>130</v>
      </c>
      <c r="AB11" s="50" t="s">
        <v>243</v>
      </c>
      <c r="AC11" s="62"/>
      <c r="AD11" s="49"/>
      <c r="AE11" s="49"/>
      <c r="AF11" s="50"/>
      <c r="AG11" s="62"/>
      <c r="AH11" s="49"/>
      <c r="AI11" s="49" t="s">
        <v>130</v>
      </c>
      <c r="AJ11" s="50" t="s">
        <v>270</v>
      </c>
      <c r="AK11" s="62"/>
      <c r="AL11" s="49"/>
      <c r="AM11" s="49" t="s">
        <v>130</v>
      </c>
      <c r="AN11" s="50" t="s">
        <v>290</v>
      </c>
      <c r="AO11" s="62"/>
      <c r="AP11" s="49"/>
      <c r="AQ11" s="49"/>
      <c r="AR11" s="50"/>
      <c r="AS11" s="62"/>
      <c r="AT11" s="49"/>
      <c r="AU11" s="49" t="s">
        <v>130</v>
      </c>
      <c r="AV11" s="50" t="s">
        <v>321</v>
      </c>
      <c r="AW11" s="62"/>
      <c r="AX11" s="49"/>
      <c r="AY11" s="49" t="s">
        <v>130</v>
      </c>
      <c r="AZ11" s="50" t="s">
        <v>335</v>
      </c>
      <c r="BA11" s="62"/>
      <c r="BB11" s="49"/>
      <c r="BC11" s="49"/>
      <c r="BD11" s="50"/>
      <c r="BE11" s="62"/>
      <c r="BF11" s="49"/>
      <c r="BG11" s="49"/>
      <c r="BH11" s="50"/>
      <c r="BI11" s="62"/>
      <c r="BJ11" s="49"/>
      <c r="BK11" s="49"/>
      <c r="BL11" s="50"/>
      <c r="BM11" s="62"/>
      <c r="BN11" s="49"/>
      <c r="BO11" s="49"/>
      <c r="BP11" s="50"/>
      <c r="BQ11" s="62"/>
      <c r="BR11" s="47"/>
      <c r="BS11" s="47"/>
      <c r="BT11" s="47"/>
    </row>
    <row r="12" spans="1:72" ht="27" customHeight="1" x14ac:dyDescent="0.25">
      <c r="A12" s="62"/>
      <c r="B12" s="62"/>
      <c r="C12" s="62"/>
      <c r="D12" s="62"/>
      <c r="E12" s="62"/>
      <c r="F12" s="49"/>
      <c r="G12" s="49" t="s">
        <v>132</v>
      </c>
      <c r="H12" s="50" t="s">
        <v>133</v>
      </c>
      <c r="I12" s="62"/>
      <c r="J12" s="49"/>
      <c r="K12" s="49" t="s">
        <v>132</v>
      </c>
      <c r="L12" s="50" t="s">
        <v>167</v>
      </c>
      <c r="M12" s="62"/>
      <c r="N12" s="49"/>
      <c r="O12" s="49" t="s">
        <v>132</v>
      </c>
      <c r="P12" s="50" t="s">
        <v>181</v>
      </c>
      <c r="Q12" s="62"/>
      <c r="R12" s="48" t="s">
        <v>201</v>
      </c>
      <c r="S12" s="49" t="s">
        <v>132</v>
      </c>
      <c r="T12" s="50" t="s">
        <v>209</v>
      </c>
      <c r="U12" s="62"/>
      <c r="V12" s="49"/>
      <c r="W12" s="49" t="s">
        <v>132</v>
      </c>
      <c r="X12" s="50" t="s">
        <v>233</v>
      </c>
      <c r="Y12" s="62"/>
      <c r="Z12" s="49"/>
      <c r="AA12" s="49" t="s">
        <v>132</v>
      </c>
      <c r="AB12" s="50" t="s">
        <v>244</v>
      </c>
      <c r="AC12" s="62"/>
      <c r="AD12" s="49"/>
      <c r="AE12" s="49"/>
      <c r="AF12" s="50"/>
      <c r="AG12" s="62"/>
      <c r="AH12" s="49"/>
      <c r="AI12" s="49" t="s">
        <v>132</v>
      </c>
      <c r="AJ12" s="50" t="s">
        <v>271</v>
      </c>
      <c r="AK12" s="62"/>
      <c r="AL12" s="49"/>
      <c r="AM12" s="49" t="s">
        <v>132</v>
      </c>
      <c r="AN12" s="50" t="s">
        <v>291</v>
      </c>
      <c r="AO12" s="62"/>
      <c r="AP12" s="49"/>
      <c r="AQ12" s="49"/>
      <c r="AR12" s="50"/>
      <c r="AS12" s="62"/>
      <c r="AT12" s="49"/>
      <c r="AU12" s="49" t="s">
        <v>132</v>
      </c>
      <c r="AV12" s="50" t="s">
        <v>322</v>
      </c>
      <c r="AW12" s="62"/>
      <c r="AX12" s="49"/>
      <c r="AY12" s="49" t="s">
        <v>132</v>
      </c>
      <c r="AZ12" s="50" t="s">
        <v>336</v>
      </c>
      <c r="BA12" s="62"/>
      <c r="BB12" s="49"/>
      <c r="BC12" s="49"/>
      <c r="BD12" s="50"/>
      <c r="BE12" s="62"/>
      <c r="BF12" s="49"/>
      <c r="BG12" s="49"/>
      <c r="BH12" s="50"/>
      <c r="BI12" s="62"/>
      <c r="BJ12" s="49"/>
      <c r="BK12" s="49"/>
      <c r="BL12" s="50"/>
      <c r="BM12" s="62"/>
      <c r="BN12" s="49"/>
      <c r="BO12" s="49"/>
      <c r="BP12" s="50"/>
      <c r="BQ12" s="62"/>
      <c r="BR12" s="47"/>
      <c r="BS12" s="47"/>
      <c r="BT12" s="47"/>
    </row>
    <row r="13" spans="1:72" ht="27" customHeight="1" x14ac:dyDescent="0.25">
      <c r="A13" s="62"/>
      <c r="B13" s="62"/>
      <c r="C13" s="62"/>
      <c r="D13" s="62"/>
      <c r="E13" s="62"/>
      <c r="F13" s="49"/>
      <c r="G13" s="49" t="s">
        <v>134</v>
      </c>
      <c r="H13" s="50" t="s">
        <v>135</v>
      </c>
      <c r="I13" s="62"/>
      <c r="J13" s="49"/>
      <c r="K13" s="49" t="s">
        <v>134</v>
      </c>
      <c r="L13" s="50" t="s">
        <v>168</v>
      </c>
      <c r="M13" s="62"/>
      <c r="N13" s="49"/>
      <c r="O13" s="49" t="s">
        <v>134</v>
      </c>
      <c r="P13" s="50" t="s">
        <v>182</v>
      </c>
      <c r="Q13" s="62"/>
      <c r="R13" s="49"/>
      <c r="S13" s="49" t="s">
        <v>134</v>
      </c>
      <c r="T13" s="50" t="s">
        <v>210</v>
      </c>
      <c r="U13" s="62"/>
      <c r="V13" s="49"/>
      <c r="W13" s="49" t="s">
        <v>134</v>
      </c>
      <c r="X13" s="50" t="s">
        <v>234</v>
      </c>
      <c r="Y13" s="62"/>
      <c r="Z13" s="49"/>
      <c r="AA13" s="49" t="s">
        <v>134</v>
      </c>
      <c r="AB13" s="50" t="s">
        <v>245</v>
      </c>
      <c r="AC13" s="62"/>
      <c r="AD13" s="49"/>
      <c r="AE13" s="49"/>
      <c r="AF13" s="50"/>
      <c r="AG13" s="62"/>
      <c r="AH13" s="49"/>
      <c r="AI13" s="49" t="s">
        <v>134</v>
      </c>
      <c r="AJ13" s="50" t="s">
        <v>272</v>
      </c>
      <c r="AK13" s="62"/>
      <c r="AL13" s="49"/>
      <c r="AM13" s="49" t="s">
        <v>134</v>
      </c>
      <c r="AN13" s="50" t="s">
        <v>292</v>
      </c>
      <c r="AO13" s="62"/>
      <c r="AP13" s="49"/>
      <c r="AQ13" s="49"/>
      <c r="AR13" s="50"/>
      <c r="AS13" s="62"/>
      <c r="AT13" s="49"/>
      <c r="AU13" s="49" t="s">
        <v>134</v>
      </c>
      <c r="AV13" s="50" t="s">
        <v>323</v>
      </c>
      <c r="AW13" s="62"/>
      <c r="AX13" s="49"/>
      <c r="AY13" s="49" t="s">
        <v>134</v>
      </c>
      <c r="AZ13" s="50" t="s">
        <v>337</v>
      </c>
      <c r="BA13" s="62"/>
      <c r="BB13" s="49"/>
      <c r="BC13" s="49"/>
      <c r="BD13" s="50"/>
      <c r="BE13" s="62"/>
      <c r="BF13" s="49"/>
      <c r="BG13" s="49"/>
      <c r="BH13" s="50"/>
      <c r="BI13" s="62"/>
      <c r="BJ13" s="49"/>
      <c r="BK13" s="49"/>
      <c r="BL13" s="50"/>
      <c r="BM13" s="62"/>
      <c r="BN13" s="49"/>
      <c r="BO13" s="49"/>
      <c r="BP13" s="50"/>
      <c r="BQ13" s="62"/>
      <c r="BR13" s="47"/>
      <c r="BS13" s="47"/>
      <c r="BT13" s="47"/>
    </row>
    <row r="14" spans="1:72" ht="27" customHeight="1" x14ac:dyDescent="0.25">
      <c r="A14" s="62"/>
      <c r="B14" s="62"/>
      <c r="C14" s="62"/>
      <c r="D14" s="62"/>
      <c r="E14" s="62"/>
      <c r="F14" s="49"/>
      <c r="G14" s="49" t="s">
        <v>136</v>
      </c>
      <c r="H14" s="50" t="s">
        <v>137</v>
      </c>
      <c r="I14" s="62"/>
      <c r="J14" s="49"/>
      <c r="K14" s="49" t="s">
        <v>136</v>
      </c>
      <c r="L14" s="50" t="s">
        <v>169</v>
      </c>
      <c r="M14" s="62"/>
      <c r="N14" s="49"/>
      <c r="O14" s="49" t="s">
        <v>136</v>
      </c>
      <c r="P14" s="50" t="s">
        <v>183</v>
      </c>
      <c r="Q14" s="62"/>
      <c r="R14" s="49"/>
      <c r="S14" s="49" t="s">
        <v>136</v>
      </c>
      <c r="T14" s="50" t="s">
        <v>211</v>
      </c>
      <c r="U14" s="62"/>
      <c r="V14" s="49"/>
      <c r="W14" s="49" t="s">
        <v>136</v>
      </c>
      <c r="X14" s="50" t="s">
        <v>235</v>
      </c>
      <c r="Y14" s="62"/>
      <c r="Z14" s="49"/>
      <c r="AA14" s="49" t="s">
        <v>136</v>
      </c>
      <c r="AB14" s="50" t="s">
        <v>246</v>
      </c>
      <c r="AC14" s="62"/>
      <c r="AD14" s="49"/>
      <c r="AE14" s="49"/>
      <c r="AF14" s="50"/>
      <c r="AG14" s="62"/>
      <c r="AH14" s="49"/>
      <c r="AI14" s="49" t="s">
        <v>136</v>
      </c>
      <c r="AJ14" s="50" t="s">
        <v>273</v>
      </c>
      <c r="AK14" s="62"/>
      <c r="AL14" s="49"/>
      <c r="AM14" s="49" t="s">
        <v>136</v>
      </c>
      <c r="AN14" s="50" t="s">
        <v>293</v>
      </c>
      <c r="AO14" s="62"/>
      <c r="AP14" s="49"/>
      <c r="AQ14" s="49"/>
      <c r="AR14" s="50"/>
      <c r="AS14" s="62"/>
      <c r="AT14" s="49"/>
      <c r="AU14" s="49" t="s">
        <v>136</v>
      </c>
      <c r="AV14" s="50" t="s">
        <v>324</v>
      </c>
      <c r="AW14" s="62"/>
      <c r="AX14" s="49"/>
      <c r="AY14" s="49" t="s">
        <v>136</v>
      </c>
      <c r="AZ14" s="50" t="s">
        <v>338</v>
      </c>
      <c r="BA14" s="62"/>
      <c r="BB14" s="49"/>
      <c r="BC14" s="49"/>
      <c r="BD14" s="50"/>
      <c r="BE14" s="62"/>
      <c r="BF14" s="49"/>
      <c r="BG14" s="49"/>
      <c r="BH14" s="50"/>
      <c r="BI14" s="62"/>
      <c r="BJ14" s="49"/>
      <c r="BK14" s="49"/>
      <c r="BL14" s="50"/>
      <c r="BM14" s="62"/>
      <c r="BN14" s="49"/>
      <c r="BO14" s="49"/>
      <c r="BP14" s="50"/>
      <c r="BQ14" s="62"/>
      <c r="BR14" s="47"/>
      <c r="BS14" s="47"/>
      <c r="BT14" s="47"/>
    </row>
    <row r="15" spans="1:72" ht="27" customHeight="1" x14ac:dyDescent="0.25">
      <c r="A15" s="62"/>
      <c r="B15" s="62"/>
      <c r="C15" s="62"/>
      <c r="D15" s="62"/>
      <c r="E15" s="62"/>
      <c r="F15" s="49"/>
      <c r="G15" s="49" t="s">
        <v>138</v>
      </c>
      <c r="H15" s="50" t="s">
        <v>139</v>
      </c>
      <c r="I15" s="62"/>
      <c r="J15" s="49"/>
      <c r="K15" s="49"/>
      <c r="L15" s="50"/>
      <c r="M15" s="62"/>
      <c r="N15" s="49"/>
      <c r="O15" s="49" t="s">
        <v>138</v>
      </c>
      <c r="P15" s="50" t="s">
        <v>184</v>
      </c>
      <c r="Q15" s="62"/>
      <c r="R15" s="49"/>
      <c r="S15" s="49" t="s">
        <v>138</v>
      </c>
      <c r="T15" s="50" t="s">
        <v>212</v>
      </c>
      <c r="U15" s="62"/>
      <c r="V15" s="49"/>
      <c r="W15" s="49" t="s">
        <v>138</v>
      </c>
      <c r="X15" s="50" t="s">
        <v>236</v>
      </c>
      <c r="Y15" s="62"/>
      <c r="Z15" s="49"/>
      <c r="AA15" s="49" t="s">
        <v>138</v>
      </c>
      <c r="AB15" s="50" t="s">
        <v>247</v>
      </c>
      <c r="AC15" s="62"/>
      <c r="AD15" s="49"/>
      <c r="AE15" s="49"/>
      <c r="AF15" s="50"/>
      <c r="AG15" s="62"/>
      <c r="AH15" s="49"/>
      <c r="AI15" s="49" t="s">
        <v>138</v>
      </c>
      <c r="AJ15" s="50" t="s">
        <v>274</v>
      </c>
      <c r="AK15" s="62"/>
      <c r="AL15" s="49"/>
      <c r="AM15" s="49" t="s">
        <v>138</v>
      </c>
      <c r="AN15" s="50" t="s">
        <v>294</v>
      </c>
      <c r="AO15" s="62"/>
      <c r="AP15" s="49"/>
      <c r="AQ15" s="49"/>
      <c r="AR15" s="50"/>
      <c r="AS15" s="62"/>
      <c r="AT15" s="49"/>
      <c r="AU15" s="49"/>
      <c r="AV15" s="50"/>
      <c r="AW15" s="62"/>
      <c r="AX15" s="49"/>
      <c r="AY15" s="49" t="s">
        <v>138</v>
      </c>
      <c r="AZ15" s="50" t="s">
        <v>339</v>
      </c>
      <c r="BA15" s="62"/>
      <c r="BB15" s="49"/>
      <c r="BC15" s="49"/>
      <c r="BD15" s="50"/>
      <c r="BE15" s="62"/>
      <c r="BF15" s="49"/>
      <c r="BG15" s="49"/>
      <c r="BH15" s="50"/>
      <c r="BI15" s="62"/>
      <c r="BJ15" s="49"/>
      <c r="BK15" s="49"/>
      <c r="BL15" s="50"/>
      <c r="BM15" s="62"/>
      <c r="BN15" s="49"/>
      <c r="BO15" s="49"/>
      <c r="BP15" s="50"/>
      <c r="BQ15" s="62"/>
      <c r="BR15" s="47"/>
      <c r="BS15" s="47"/>
      <c r="BT15" s="47"/>
    </row>
    <row r="16" spans="1:72" ht="27" customHeight="1" x14ac:dyDescent="0.25">
      <c r="A16" s="62"/>
      <c r="B16" s="62"/>
      <c r="C16" s="62"/>
      <c r="D16" s="62"/>
      <c r="E16" s="62"/>
      <c r="F16" s="49"/>
      <c r="G16" s="49" t="s">
        <v>140</v>
      </c>
      <c r="H16" s="50" t="s">
        <v>141</v>
      </c>
      <c r="I16" s="62"/>
      <c r="J16" s="49"/>
      <c r="K16" s="49"/>
      <c r="L16" s="50"/>
      <c r="M16" s="62"/>
      <c r="N16" s="49"/>
      <c r="O16" s="49" t="s">
        <v>140</v>
      </c>
      <c r="P16" s="50" t="s">
        <v>185</v>
      </c>
      <c r="Q16" s="62"/>
      <c r="R16" s="49"/>
      <c r="S16" s="49" t="s">
        <v>140</v>
      </c>
      <c r="T16" s="50" t="s">
        <v>213</v>
      </c>
      <c r="U16" s="62"/>
      <c r="V16" s="49"/>
      <c r="W16" s="49"/>
      <c r="X16" s="50"/>
      <c r="Y16" s="62"/>
      <c r="Z16" s="49"/>
      <c r="AA16" s="49" t="s">
        <v>140</v>
      </c>
      <c r="AB16" s="50" t="s">
        <v>248</v>
      </c>
      <c r="AC16" s="62"/>
      <c r="AD16" s="49"/>
      <c r="AE16" s="49"/>
      <c r="AF16" s="50"/>
      <c r="AG16" s="62"/>
      <c r="AH16" s="49"/>
      <c r="AI16" s="49" t="s">
        <v>140</v>
      </c>
      <c r="AJ16" s="50" t="s">
        <v>275</v>
      </c>
      <c r="AK16" s="62"/>
      <c r="AL16" s="49"/>
      <c r="AM16" s="49" t="s">
        <v>140</v>
      </c>
      <c r="AN16" s="50" t="s">
        <v>295</v>
      </c>
      <c r="AO16" s="62"/>
      <c r="AP16" s="49"/>
      <c r="AQ16" s="49"/>
      <c r="AR16" s="50"/>
      <c r="AS16" s="62"/>
      <c r="AT16" s="49"/>
      <c r="AU16" s="49"/>
      <c r="AV16" s="50"/>
      <c r="AW16" s="62"/>
      <c r="AX16" s="49"/>
      <c r="AY16" s="49" t="s">
        <v>140</v>
      </c>
      <c r="AZ16" s="50" t="s">
        <v>340</v>
      </c>
      <c r="BA16" s="62"/>
      <c r="BB16" s="49"/>
      <c r="BC16" s="49"/>
      <c r="BD16" s="50"/>
      <c r="BE16" s="62"/>
      <c r="BF16" s="49"/>
      <c r="BG16" s="49"/>
      <c r="BH16" s="50"/>
      <c r="BI16" s="62"/>
      <c r="BJ16" s="49"/>
      <c r="BK16" s="49"/>
      <c r="BL16" s="50"/>
      <c r="BM16" s="62"/>
      <c r="BN16" s="49"/>
      <c r="BO16" s="49"/>
      <c r="BP16" s="50"/>
      <c r="BQ16" s="62"/>
      <c r="BR16" s="47"/>
      <c r="BS16" s="47"/>
      <c r="BT16" s="47"/>
    </row>
    <row r="17" spans="1:72" ht="27" customHeight="1" x14ac:dyDescent="0.25">
      <c r="A17" s="62"/>
      <c r="B17" s="62"/>
      <c r="C17" s="62"/>
      <c r="D17" s="62"/>
      <c r="E17" s="62"/>
      <c r="F17" s="63"/>
      <c r="G17" s="49" t="s">
        <v>142</v>
      </c>
      <c r="H17" s="50" t="s">
        <v>143</v>
      </c>
      <c r="I17" s="62"/>
      <c r="J17" s="63"/>
      <c r="K17" s="49"/>
      <c r="L17" s="50"/>
      <c r="M17" s="62"/>
      <c r="N17" s="63"/>
      <c r="O17" s="49" t="s">
        <v>142</v>
      </c>
      <c r="P17" s="50" t="s">
        <v>186</v>
      </c>
      <c r="Q17" s="62"/>
      <c r="R17" s="63"/>
      <c r="S17" s="49" t="s">
        <v>142</v>
      </c>
      <c r="T17" s="50" t="s">
        <v>214</v>
      </c>
      <c r="U17" s="62"/>
      <c r="V17" s="63"/>
      <c r="W17" s="49"/>
      <c r="X17" s="50"/>
      <c r="Y17" s="62"/>
      <c r="Z17" s="63"/>
      <c r="AA17" s="49" t="s">
        <v>142</v>
      </c>
      <c r="AB17" s="50" t="s">
        <v>249</v>
      </c>
      <c r="AC17" s="62"/>
      <c r="AD17" s="63"/>
      <c r="AE17" s="49"/>
      <c r="AF17" s="50"/>
      <c r="AG17" s="62"/>
      <c r="AH17" s="63"/>
      <c r="AI17" s="49" t="s">
        <v>142</v>
      </c>
      <c r="AJ17" s="50" t="s">
        <v>276</v>
      </c>
      <c r="AK17" s="62"/>
      <c r="AL17" s="63"/>
      <c r="AM17" s="49" t="s">
        <v>142</v>
      </c>
      <c r="AN17" s="50" t="s">
        <v>296</v>
      </c>
      <c r="AO17" s="62"/>
      <c r="AP17" s="63"/>
      <c r="AQ17" s="49"/>
      <c r="AR17" s="50"/>
      <c r="AS17" s="62"/>
      <c r="AT17" s="63"/>
      <c r="AU17" s="49"/>
      <c r="AV17" s="50"/>
      <c r="AW17" s="62"/>
      <c r="AX17" s="63"/>
      <c r="AY17" s="49" t="s">
        <v>142</v>
      </c>
      <c r="AZ17" s="50" t="s">
        <v>341</v>
      </c>
      <c r="BA17" s="62"/>
      <c r="BB17" s="63"/>
      <c r="BC17" s="49"/>
      <c r="BD17" s="50"/>
      <c r="BE17" s="62"/>
      <c r="BF17" s="63"/>
      <c r="BG17" s="49"/>
      <c r="BH17" s="50"/>
      <c r="BI17" s="62"/>
      <c r="BJ17" s="63"/>
      <c r="BK17" s="49"/>
      <c r="BL17" s="50"/>
      <c r="BM17" s="62"/>
      <c r="BN17" s="63"/>
      <c r="BO17" s="49"/>
      <c r="BP17" s="50"/>
      <c r="BQ17" s="62"/>
      <c r="BR17" s="47"/>
      <c r="BS17" s="47"/>
      <c r="BT17" s="47"/>
    </row>
    <row r="18" spans="1:72" ht="27" customHeight="1" x14ac:dyDescent="0.25">
      <c r="A18" s="62"/>
      <c r="B18" s="62"/>
      <c r="C18" s="62"/>
      <c r="D18" s="62"/>
      <c r="E18" s="62"/>
      <c r="F18" s="63"/>
      <c r="G18" s="49" t="s">
        <v>144</v>
      </c>
      <c r="H18" s="50" t="s">
        <v>145</v>
      </c>
      <c r="I18" s="62"/>
      <c r="J18" s="63"/>
      <c r="K18" s="49"/>
      <c r="L18" s="50"/>
      <c r="M18" s="62"/>
      <c r="N18" s="63"/>
      <c r="O18" s="49" t="s">
        <v>144</v>
      </c>
      <c r="P18" s="50" t="s">
        <v>187</v>
      </c>
      <c r="Q18" s="62"/>
      <c r="R18" s="63"/>
      <c r="S18" s="49" t="s">
        <v>144</v>
      </c>
      <c r="T18" s="50" t="s">
        <v>215</v>
      </c>
      <c r="U18" s="62"/>
      <c r="V18" s="63"/>
      <c r="W18" s="49"/>
      <c r="X18" s="50"/>
      <c r="Y18" s="62"/>
      <c r="Z18" s="63"/>
      <c r="AA18" s="49" t="s">
        <v>144</v>
      </c>
      <c r="AB18" s="50" t="s">
        <v>250</v>
      </c>
      <c r="AC18" s="62"/>
      <c r="AD18" s="63"/>
      <c r="AE18" s="49"/>
      <c r="AF18" s="50"/>
      <c r="AG18" s="62"/>
      <c r="AH18" s="63"/>
      <c r="AI18" s="49" t="s">
        <v>144</v>
      </c>
      <c r="AJ18" s="50" t="s">
        <v>277</v>
      </c>
      <c r="AK18" s="62"/>
      <c r="AL18" s="63"/>
      <c r="AM18" s="49" t="s">
        <v>144</v>
      </c>
      <c r="AN18" s="50" t="s">
        <v>297</v>
      </c>
      <c r="AO18" s="62"/>
      <c r="AP18" s="63"/>
      <c r="AQ18" s="49"/>
      <c r="AR18" s="50"/>
      <c r="AS18" s="62"/>
      <c r="AT18" s="63"/>
      <c r="AU18" s="49"/>
      <c r="AV18" s="50"/>
      <c r="AW18" s="62"/>
      <c r="AX18" s="63"/>
      <c r="AY18" s="49" t="s">
        <v>144</v>
      </c>
      <c r="AZ18" s="50" t="s">
        <v>342</v>
      </c>
      <c r="BA18" s="62"/>
      <c r="BB18" s="63"/>
      <c r="BC18" s="49"/>
      <c r="BD18" s="50"/>
      <c r="BE18" s="62"/>
      <c r="BF18" s="63"/>
      <c r="BG18" s="49"/>
      <c r="BH18" s="50"/>
      <c r="BI18" s="62"/>
      <c r="BJ18" s="63"/>
      <c r="BK18" s="49"/>
      <c r="BL18" s="50"/>
      <c r="BM18" s="62"/>
      <c r="BN18" s="63"/>
      <c r="BO18" s="49"/>
      <c r="BP18" s="50"/>
      <c r="BQ18" s="62"/>
      <c r="BR18" s="47"/>
      <c r="BS18" s="47"/>
      <c r="BT18" s="47"/>
    </row>
    <row r="19" spans="1:72" ht="27" customHeight="1" x14ac:dyDescent="0.25">
      <c r="A19" s="62"/>
      <c r="B19" s="62"/>
      <c r="C19" s="62"/>
      <c r="D19" s="62"/>
      <c r="E19" s="62"/>
      <c r="F19" s="63"/>
      <c r="G19" s="49" t="s">
        <v>146</v>
      </c>
      <c r="H19" s="50" t="s">
        <v>147</v>
      </c>
      <c r="I19" s="62"/>
      <c r="J19" s="63"/>
      <c r="K19" s="49"/>
      <c r="L19" s="50"/>
      <c r="M19" s="62"/>
      <c r="N19" s="63"/>
      <c r="O19" s="49" t="s">
        <v>146</v>
      </c>
      <c r="P19" s="50" t="s">
        <v>188</v>
      </c>
      <c r="Q19" s="62"/>
      <c r="R19" s="63"/>
      <c r="S19" s="49" t="s">
        <v>146</v>
      </c>
      <c r="T19" s="50" t="s">
        <v>216</v>
      </c>
      <c r="U19" s="62"/>
      <c r="V19" s="63"/>
      <c r="W19" s="49"/>
      <c r="X19" s="50"/>
      <c r="Y19" s="62"/>
      <c r="Z19" s="63"/>
      <c r="AA19" s="49"/>
      <c r="AB19" s="50"/>
      <c r="AC19" s="62"/>
      <c r="AD19" s="63"/>
      <c r="AE19" s="49"/>
      <c r="AF19" s="50"/>
      <c r="AG19" s="62"/>
      <c r="AH19" s="63"/>
      <c r="AI19" s="49" t="s">
        <v>146</v>
      </c>
      <c r="AJ19" s="50" t="s">
        <v>278</v>
      </c>
      <c r="AK19" s="62"/>
      <c r="AL19" s="63"/>
      <c r="AM19" s="49" t="s">
        <v>146</v>
      </c>
      <c r="AN19" s="50" t="s">
        <v>298</v>
      </c>
      <c r="AO19" s="62"/>
      <c r="AP19" s="63"/>
      <c r="AQ19" s="49"/>
      <c r="AR19" s="50"/>
      <c r="AS19" s="62"/>
      <c r="AT19" s="63"/>
      <c r="AU19" s="49"/>
      <c r="AV19" s="50"/>
      <c r="AW19" s="62"/>
      <c r="AX19" s="63"/>
      <c r="AY19" s="49"/>
      <c r="AZ19" s="50"/>
      <c r="BA19" s="62"/>
      <c r="BB19" s="63"/>
      <c r="BC19" s="49"/>
      <c r="BD19" s="50"/>
      <c r="BE19" s="62"/>
      <c r="BF19" s="63"/>
      <c r="BG19" s="49"/>
      <c r="BH19" s="50"/>
      <c r="BI19" s="62"/>
      <c r="BJ19" s="63"/>
      <c r="BK19" s="49"/>
      <c r="BL19" s="50"/>
      <c r="BM19" s="62"/>
      <c r="BN19" s="63"/>
      <c r="BO19" s="49"/>
      <c r="BP19" s="50"/>
      <c r="BQ19" s="62"/>
      <c r="BR19" s="47"/>
      <c r="BS19" s="47"/>
      <c r="BT19" s="47"/>
    </row>
    <row r="20" spans="1:72" ht="27" customHeight="1" x14ac:dyDescent="0.25">
      <c r="A20" s="62"/>
      <c r="B20" s="62"/>
      <c r="C20" s="62"/>
      <c r="D20" s="62"/>
      <c r="E20" s="62"/>
      <c r="F20" s="63"/>
      <c r="G20" s="49" t="s">
        <v>148</v>
      </c>
      <c r="H20" s="50" t="s">
        <v>149</v>
      </c>
      <c r="I20" s="62"/>
      <c r="J20" s="63"/>
      <c r="K20" s="49"/>
      <c r="L20" s="50"/>
      <c r="M20" s="62"/>
      <c r="N20" s="63"/>
      <c r="O20" s="49" t="s">
        <v>148</v>
      </c>
      <c r="P20" s="50" t="s">
        <v>189</v>
      </c>
      <c r="Q20" s="62"/>
      <c r="R20" s="63"/>
      <c r="S20" s="49" t="s">
        <v>148</v>
      </c>
      <c r="T20" s="50" t="s">
        <v>217</v>
      </c>
      <c r="U20" s="62"/>
      <c r="V20" s="63"/>
      <c r="W20" s="49"/>
      <c r="X20" s="50"/>
      <c r="Y20" s="62"/>
      <c r="Z20" s="63"/>
      <c r="AA20" s="49"/>
      <c r="AB20" s="50"/>
      <c r="AC20" s="62"/>
      <c r="AD20" s="63"/>
      <c r="AE20" s="49"/>
      <c r="AF20" s="50"/>
      <c r="AG20" s="62"/>
      <c r="AH20" s="63"/>
      <c r="AI20" s="49" t="s">
        <v>148</v>
      </c>
      <c r="AJ20" s="50" t="s">
        <v>279</v>
      </c>
      <c r="AK20" s="62"/>
      <c r="AL20" s="63"/>
      <c r="AM20" s="49" t="s">
        <v>148</v>
      </c>
      <c r="AN20" s="50" t="s">
        <v>299</v>
      </c>
      <c r="AO20" s="62"/>
      <c r="AP20" s="63"/>
      <c r="AQ20" s="49"/>
      <c r="AR20" s="50"/>
      <c r="AS20" s="62"/>
      <c r="AT20" s="63"/>
      <c r="AU20" s="49"/>
      <c r="AV20" s="50"/>
      <c r="AW20" s="62"/>
      <c r="AX20" s="63"/>
      <c r="AY20" s="49"/>
      <c r="AZ20" s="50"/>
      <c r="BA20" s="62"/>
      <c r="BB20" s="63"/>
      <c r="BC20" s="49"/>
      <c r="BD20" s="50"/>
      <c r="BE20" s="62"/>
      <c r="BF20" s="63"/>
      <c r="BG20" s="49"/>
      <c r="BH20" s="50"/>
      <c r="BI20" s="62"/>
      <c r="BJ20" s="63"/>
      <c r="BK20" s="49"/>
      <c r="BL20" s="50"/>
      <c r="BM20" s="62"/>
      <c r="BN20" s="63"/>
      <c r="BO20" s="49"/>
      <c r="BP20" s="50"/>
      <c r="BQ20" s="62"/>
      <c r="BR20" s="47"/>
      <c r="BS20" s="47"/>
      <c r="BT20" s="47"/>
    </row>
    <row r="21" spans="1:72" ht="27" customHeight="1" x14ac:dyDescent="0.25">
      <c r="A21" s="62"/>
      <c r="B21" s="62"/>
      <c r="C21" s="62"/>
      <c r="D21" s="62"/>
      <c r="E21" s="62"/>
      <c r="F21" s="63"/>
      <c r="G21" s="49" t="s">
        <v>150</v>
      </c>
      <c r="H21" s="50" t="s">
        <v>151</v>
      </c>
      <c r="I21" s="62"/>
      <c r="J21" s="63"/>
      <c r="K21" s="49"/>
      <c r="L21" s="50"/>
      <c r="M21" s="62"/>
      <c r="N21" s="63"/>
      <c r="O21" s="49" t="s">
        <v>150</v>
      </c>
      <c r="P21" s="50" t="s">
        <v>190</v>
      </c>
      <c r="Q21" s="62"/>
      <c r="R21" s="63"/>
      <c r="S21" s="49" t="s">
        <v>150</v>
      </c>
      <c r="T21" s="50" t="s">
        <v>218</v>
      </c>
      <c r="U21" s="62"/>
      <c r="V21" s="63"/>
      <c r="W21" s="49"/>
      <c r="X21" s="50"/>
      <c r="Y21" s="62"/>
      <c r="Z21" s="63"/>
      <c r="AA21" s="49"/>
      <c r="AB21" s="50"/>
      <c r="AC21" s="62"/>
      <c r="AD21" s="63"/>
      <c r="AE21" s="49"/>
      <c r="AF21" s="50"/>
      <c r="AG21" s="62"/>
      <c r="AH21" s="63"/>
      <c r="AI21" s="49" t="s">
        <v>150</v>
      </c>
      <c r="AJ21" s="50" t="s">
        <v>280</v>
      </c>
      <c r="AK21" s="62"/>
      <c r="AL21" s="63"/>
      <c r="AM21" s="49"/>
      <c r="AN21" s="50"/>
      <c r="AO21" s="62"/>
      <c r="AP21" s="63"/>
      <c r="AQ21" s="49"/>
      <c r="AR21" s="50"/>
      <c r="AS21" s="62"/>
      <c r="AT21" s="63"/>
      <c r="AU21" s="49"/>
      <c r="AV21" s="50"/>
      <c r="AW21" s="62"/>
      <c r="AX21" s="63"/>
      <c r="AY21" s="49"/>
      <c r="AZ21" s="50"/>
      <c r="BA21" s="62"/>
      <c r="BB21" s="63"/>
      <c r="BC21" s="49"/>
      <c r="BD21" s="50"/>
      <c r="BE21" s="62"/>
      <c r="BF21" s="63"/>
      <c r="BG21" s="49"/>
      <c r="BH21" s="50"/>
      <c r="BI21" s="62"/>
      <c r="BJ21" s="63"/>
      <c r="BK21" s="49"/>
      <c r="BL21" s="50"/>
      <c r="BM21" s="62"/>
      <c r="BN21" s="63"/>
      <c r="BO21" s="49"/>
      <c r="BP21" s="50"/>
      <c r="BQ21" s="62"/>
      <c r="BR21" s="47"/>
      <c r="BS21" s="47"/>
      <c r="BT21" s="47"/>
    </row>
    <row r="22" spans="1:72" ht="27" customHeight="1" x14ac:dyDescent="0.25">
      <c r="A22" s="62"/>
      <c r="B22" s="62"/>
      <c r="C22" s="62"/>
      <c r="D22" s="62"/>
      <c r="E22" s="62"/>
      <c r="F22" s="63"/>
      <c r="G22" s="49" t="s">
        <v>152</v>
      </c>
      <c r="H22" s="50" t="s">
        <v>153</v>
      </c>
      <c r="I22" s="62"/>
      <c r="J22" s="63"/>
      <c r="K22" s="49"/>
      <c r="L22" s="50"/>
      <c r="M22" s="62"/>
      <c r="N22" s="63"/>
      <c r="O22" s="49" t="s">
        <v>152</v>
      </c>
      <c r="P22" s="50" t="s">
        <v>191</v>
      </c>
      <c r="Q22" s="62"/>
      <c r="R22" s="63"/>
      <c r="S22" s="49" t="s">
        <v>152</v>
      </c>
      <c r="T22" s="50" t="s">
        <v>219</v>
      </c>
      <c r="U22" s="62"/>
      <c r="V22" s="63"/>
      <c r="W22" s="49"/>
      <c r="X22" s="50"/>
      <c r="Y22" s="62"/>
      <c r="Z22" s="63"/>
      <c r="AA22" s="49"/>
      <c r="AB22" s="50"/>
      <c r="AC22" s="62"/>
      <c r="AD22" s="63"/>
      <c r="AE22" s="49"/>
      <c r="AF22" s="50"/>
      <c r="AG22" s="62"/>
      <c r="AH22" s="63"/>
      <c r="AI22" s="49" t="s">
        <v>152</v>
      </c>
      <c r="AJ22" s="50" t="s">
        <v>281</v>
      </c>
      <c r="AK22" s="62"/>
      <c r="AL22" s="63"/>
      <c r="AM22" s="49"/>
      <c r="AN22" s="50"/>
      <c r="AO22" s="62"/>
      <c r="AP22" s="63"/>
      <c r="AQ22" s="49"/>
      <c r="AR22" s="50"/>
      <c r="AS22" s="62"/>
      <c r="AT22" s="63"/>
      <c r="AU22" s="49"/>
      <c r="AV22" s="50"/>
      <c r="AW22" s="62"/>
      <c r="AX22" s="63"/>
      <c r="AY22" s="49"/>
      <c r="AZ22" s="50"/>
      <c r="BA22" s="62"/>
      <c r="BB22" s="63"/>
      <c r="BC22" s="49"/>
      <c r="BD22" s="50"/>
      <c r="BE22" s="62"/>
      <c r="BF22" s="63"/>
      <c r="BG22" s="49"/>
      <c r="BH22" s="50"/>
      <c r="BI22" s="62"/>
      <c r="BJ22" s="63"/>
      <c r="BK22" s="49"/>
      <c r="BL22" s="50"/>
      <c r="BM22" s="62"/>
      <c r="BN22" s="63"/>
      <c r="BO22" s="49"/>
      <c r="BP22" s="50"/>
      <c r="BQ22" s="62"/>
      <c r="BR22" s="47"/>
      <c r="BS22" s="47"/>
      <c r="BT22" s="47"/>
    </row>
    <row r="23" spans="1:72" ht="27" customHeight="1" x14ac:dyDescent="0.25">
      <c r="A23" s="62"/>
      <c r="B23" s="62"/>
      <c r="C23" s="62"/>
      <c r="D23" s="62"/>
      <c r="E23" s="62"/>
      <c r="F23" s="63"/>
      <c r="G23" s="49" t="s">
        <v>154</v>
      </c>
      <c r="H23" s="50" t="s">
        <v>155</v>
      </c>
      <c r="I23" s="62"/>
      <c r="J23" s="63"/>
      <c r="K23" s="49"/>
      <c r="L23" s="50"/>
      <c r="M23" s="62"/>
      <c r="N23" s="63"/>
      <c r="O23" s="49" t="s">
        <v>154</v>
      </c>
      <c r="P23" s="50" t="s">
        <v>192</v>
      </c>
      <c r="Q23" s="62"/>
      <c r="R23" s="63"/>
      <c r="S23" s="49" t="s">
        <v>154</v>
      </c>
      <c r="T23" s="50" t="s">
        <v>220</v>
      </c>
      <c r="U23" s="62"/>
      <c r="V23" s="63"/>
      <c r="W23" s="49"/>
      <c r="X23" s="50"/>
      <c r="Y23" s="62"/>
      <c r="Z23" s="63"/>
      <c r="AA23" s="49"/>
      <c r="AB23" s="50"/>
      <c r="AC23" s="62"/>
      <c r="AD23" s="63"/>
      <c r="AE23" s="49"/>
      <c r="AF23" s="50"/>
      <c r="AG23" s="62"/>
      <c r="AH23" s="63"/>
      <c r="AI23" s="49"/>
      <c r="AJ23" s="50"/>
      <c r="AK23" s="62"/>
      <c r="AL23" s="63"/>
      <c r="AM23" s="49"/>
      <c r="AN23" s="50"/>
      <c r="AO23" s="62"/>
      <c r="AP23" s="63"/>
      <c r="AQ23" s="49"/>
      <c r="AR23" s="50"/>
      <c r="AS23" s="62"/>
      <c r="AT23" s="63"/>
      <c r="AU23" s="49"/>
      <c r="AV23" s="50"/>
      <c r="AW23" s="62"/>
      <c r="AX23" s="63"/>
      <c r="AY23" s="49"/>
      <c r="AZ23" s="50"/>
      <c r="BA23" s="62"/>
      <c r="BB23" s="63"/>
      <c r="BC23" s="49"/>
      <c r="BD23" s="50"/>
      <c r="BE23" s="62"/>
      <c r="BF23" s="63"/>
      <c r="BG23" s="49"/>
      <c r="BH23" s="50"/>
      <c r="BI23" s="62"/>
      <c r="BJ23" s="63"/>
      <c r="BK23" s="49"/>
      <c r="BL23" s="50"/>
      <c r="BM23" s="62"/>
      <c r="BN23" s="63"/>
      <c r="BO23" s="49"/>
      <c r="BP23" s="50"/>
      <c r="BQ23" s="62"/>
      <c r="BR23" s="47"/>
      <c r="BS23" s="47"/>
      <c r="BT23" s="47"/>
    </row>
    <row r="24" spans="1:72" ht="27" customHeight="1" x14ac:dyDescent="0.25">
      <c r="A24" s="62"/>
      <c r="B24" s="62"/>
      <c r="C24" s="62"/>
      <c r="D24" s="62"/>
      <c r="E24" s="62"/>
      <c r="F24" s="63"/>
      <c r="G24" s="49" t="s">
        <v>156</v>
      </c>
      <c r="H24" s="50" t="s">
        <v>157</v>
      </c>
      <c r="I24" s="62"/>
      <c r="J24" s="63"/>
      <c r="K24" s="49"/>
      <c r="L24" s="50"/>
      <c r="M24" s="62"/>
      <c r="N24" s="63"/>
      <c r="O24" s="49" t="s">
        <v>156</v>
      </c>
      <c r="P24" s="50" t="s">
        <v>193</v>
      </c>
      <c r="Q24" s="62"/>
      <c r="R24" s="63"/>
      <c r="S24" s="49" t="s">
        <v>156</v>
      </c>
      <c r="T24" s="50" t="s">
        <v>221</v>
      </c>
      <c r="U24" s="62"/>
      <c r="V24" s="63"/>
      <c r="W24" s="49"/>
      <c r="X24" s="50"/>
      <c r="Y24" s="62"/>
      <c r="Z24" s="63"/>
      <c r="AA24" s="49"/>
      <c r="AB24" s="50"/>
      <c r="AC24" s="62"/>
      <c r="AD24" s="63"/>
      <c r="AE24" s="49"/>
      <c r="AF24" s="50"/>
      <c r="AG24" s="62"/>
      <c r="AH24" s="63"/>
      <c r="AI24" s="49"/>
      <c r="AJ24" s="50"/>
      <c r="AK24" s="62"/>
      <c r="AL24" s="63"/>
      <c r="AM24" s="49"/>
      <c r="AN24" s="50"/>
      <c r="AO24" s="62"/>
      <c r="AP24" s="63"/>
      <c r="AQ24" s="49"/>
      <c r="AR24" s="50"/>
      <c r="AS24" s="62"/>
      <c r="AT24" s="63"/>
      <c r="AU24" s="49"/>
      <c r="AV24" s="50"/>
      <c r="AW24" s="62"/>
      <c r="AX24" s="63"/>
      <c r="AY24" s="49"/>
      <c r="AZ24" s="50"/>
      <c r="BA24" s="62"/>
      <c r="BB24" s="63"/>
      <c r="BC24" s="49"/>
      <c r="BD24" s="50"/>
      <c r="BE24" s="62"/>
      <c r="BF24" s="63"/>
      <c r="BG24" s="49"/>
      <c r="BH24" s="50"/>
      <c r="BI24" s="62"/>
      <c r="BJ24" s="63"/>
      <c r="BK24" s="49"/>
      <c r="BL24" s="50"/>
      <c r="BM24" s="62"/>
      <c r="BN24" s="63"/>
      <c r="BO24" s="49"/>
      <c r="BP24" s="50"/>
      <c r="BQ24" s="62"/>
      <c r="BR24" s="47"/>
      <c r="BS24" s="47"/>
      <c r="BT24" s="47"/>
    </row>
    <row r="25" spans="1:72" s="15" customFormat="1" x14ac:dyDescent="0.25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</row>
  </sheetData>
  <mergeCells count="16">
    <mergeCell ref="F3:H3"/>
    <mergeCell ref="BJ3:BL3"/>
    <mergeCell ref="BN3:BP3"/>
    <mergeCell ref="AT3:AV3"/>
    <mergeCell ref="AX3:AZ3"/>
    <mergeCell ref="BB3:BD3"/>
    <mergeCell ref="BF3:BH3"/>
    <mergeCell ref="Z3:AB3"/>
    <mergeCell ref="AD3:AF3"/>
    <mergeCell ref="AH3:AJ3"/>
    <mergeCell ref="AL3:AN3"/>
    <mergeCell ref="AP3:AR3"/>
    <mergeCell ref="J3:L3"/>
    <mergeCell ref="N3:P3"/>
    <mergeCell ref="R3:T3"/>
    <mergeCell ref="V3:X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0</xdr:col>
                <xdr:colOff>381000</xdr:colOff>
                <xdr:row>1</xdr:row>
                <xdr:rowOff>28575</xdr:rowOff>
              </from>
              <to>
                <xdr:col>3</xdr:col>
                <xdr:colOff>266700</xdr:colOff>
                <xdr:row>3</xdr:row>
                <xdr:rowOff>247650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D85D-2D97-4F12-ABBE-C09835B07A9E}">
  <sheetPr codeName="Sheet30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S8" sqref="S8"/>
    </sheetView>
  </sheetViews>
  <sheetFormatPr defaultColWidth="0" defaultRowHeight="15" zeroHeight="1" x14ac:dyDescent="0.25"/>
  <cols>
    <col min="1" max="1" width="3.28515625" customWidth="1"/>
    <col min="2" max="2" width="36.42578125" customWidth="1"/>
    <col min="3" max="36" width="9.140625" customWidth="1"/>
    <col min="37" max="38" width="11.85546875" customWidth="1"/>
    <col min="39" max="39" width="10.7109375" customWidth="1"/>
    <col min="40" max="40" width="11.5703125" customWidth="1"/>
    <col min="41" max="41" width="5.140625" hidden="1" customWidth="1"/>
    <col min="42" max="42" width="4.85546875" hidden="1" customWidth="1"/>
    <col min="43" max="43" width="5.140625" hidden="1" customWidth="1"/>
    <col min="44" max="44" width="4.85546875" hidden="1" customWidth="1"/>
    <col min="45" max="45" width="48.42578125" customWidth="1"/>
    <col min="46" max="46" width="49.140625" customWidth="1"/>
    <col min="47" max="47" width="9.140625" style="15" customWidth="1"/>
    <col min="48" max="52" width="9.140625" hidden="1" customWidth="1"/>
    <col min="53" max="53" width="12.42578125" hidden="1" customWidth="1"/>
    <col min="54" max="56" width="9.140625" hidden="1" customWidth="1"/>
    <col min="57" max="57" width="38" hidden="1" customWidth="1"/>
    <col min="58" max="58" width="34.85546875" hidden="1" customWidth="1"/>
    <col min="59" max="59" width="45" hidden="1" customWidth="1"/>
    <col min="60" max="60" width="40.28515625" hidden="1" customWidth="1"/>
    <col min="61" max="16384" width="9.140625" hidden="1"/>
  </cols>
  <sheetData>
    <row r="1" spans="1:58" s="15" customFormat="1" x14ac:dyDescent="0.25">
      <c r="AT1" s="285" t="s">
        <v>359</v>
      </c>
    </row>
    <row r="2" spans="1:58" s="15" customFormat="1" x14ac:dyDescent="0.25">
      <c r="AT2" s="286"/>
    </row>
    <row r="3" spans="1:58" s="15" customFormat="1" x14ac:dyDescent="0.25">
      <c r="AS3" s="64" t="s">
        <v>352</v>
      </c>
      <c r="AT3" s="166" t="s">
        <v>348</v>
      </c>
    </row>
    <row r="4" spans="1:58" s="15" customFormat="1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s="15" customFormat="1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s="15" customFormat="1" x14ac:dyDescent="0.25"/>
    <row r="7" spans="1:58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</row>
    <row r="8" spans="1:58" ht="71.25" customHeight="1" x14ac:dyDescent="0.25">
      <c r="A8" s="284"/>
      <c r="B8" s="287"/>
      <c r="C8" s="52" t="str" cm="1">
        <f t="array" ref="C8:V8">IF(TRANSPOSE(TP!G5:G24)="", "", TRANSPOSE(TP!G5:G24))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>TP 15</v>
      </c>
      <c r="R8" s="52" t="str">
        <v>TP 16</v>
      </c>
      <c r="S8" s="52" t="str">
        <v>TP 17</v>
      </c>
      <c r="T8" s="52" t="str">
        <v>TP 18</v>
      </c>
      <c r="U8" s="52" t="str">
        <v>TP 19</v>
      </c>
      <c r="V8" s="52" t="str">
        <v>TP 20</v>
      </c>
      <c r="W8" s="58" t="str" cm="1">
        <f t="array" ref="W8:AH8">IF(TRANSPOSE(TP!F5:F16)="", "", TRANSPOSE(TP!F5:F16))</f>
        <v>Menyayangi Anak Yatim</v>
      </c>
      <c r="X8" s="58" t="str">
        <v>Lebih Dekat dengan Nama-Nama Allah</v>
      </c>
      <c r="Y8" s="58" t="str">
        <v>Aku Anak Saleh</v>
      </c>
      <c r="Z8" s="58" t="str">
        <v>Hidup Lapang  Dengan Berbagi</v>
      </c>
      <c r="AA8" s="58" t="str">
        <v>Meneladani Perjuangan Rasulullah</v>
      </c>
      <c r="AB8" s="58" t="str">
        <v/>
      </c>
      <c r="AC8" s="58" t="str">
        <v/>
      </c>
      <c r="AD8" s="58" t="str">
        <v/>
      </c>
      <c r="AE8" s="58" t="str">
        <v/>
      </c>
      <c r="AF8" s="58" t="str">
        <v/>
      </c>
      <c r="AG8" s="58" t="str">
        <v/>
      </c>
      <c r="AH8" s="58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23</v>
      </c>
      <c r="M9" s="165">
        <v>90</v>
      </c>
      <c r="N9" s="165">
        <v>90</v>
      </c>
      <c r="O9" s="165">
        <v>90</v>
      </c>
      <c r="P9" s="165">
        <v>54</v>
      </c>
      <c r="Q9" s="165">
        <v>90</v>
      </c>
      <c r="R9" s="165">
        <v>90</v>
      </c>
      <c r="S9" s="165">
        <v>90</v>
      </c>
      <c r="T9" s="165">
        <v>90</v>
      </c>
      <c r="U9" s="165">
        <v>90</v>
      </c>
      <c r="V9" s="165">
        <v>90</v>
      </c>
      <c r="W9" s="165">
        <v>90</v>
      </c>
      <c r="X9" s="165">
        <v>90</v>
      </c>
      <c r="Y9" s="165">
        <v>90</v>
      </c>
      <c r="Z9" s="165">
        <v>90</v>
      </c>
      <c r="AA9" s="165">
        <v>90</v>
      </c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84.85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89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23</v>
      </c>
      <c r="AR9" s="59" t="str">
        <f>IFERROR(INDEX(C$8:V$8, MATCH(AQ9, C9:V9, 0)), "")</f>
        <v>TP 10</v>
      </c>
      <c r="AS9" s="61" t="str">
        <f>IFERROR(
   'Identitas Siswa'!E8 &amp; " " &amp; LOWER($AT$3) &amp; " " &amp; VLOOKUP(AP9, TP!$G$5:$H$24, 2, 0) &amp; ".",
"")</f>
        <v>Abhy menunjukkan penguasaan dalam meyakini Surah al-Mā’ūn sebagai firman Allah dengan benar.</v>
      </c>
      <c r="AT9" s="61" t="str">
        <f>IFERROR(
   'Identitas Siswa'!E8 &amp; " " &amp; LOWER($AT$4) &amp; " " &amp; VLOOKUP(AR9, TP!$G$5:$H$24, 2, 0) &amp; ".",
"")</f>
        <v>Abhy perlu bimbingan dalam membiasakan perilaku terpuji sebagai bukti wujud implementasi dari  makna hidup indah saling menghargai.</v>
      </c>
      <c r="AW9" s="29">
        <f>IFERROR(AK9*$AZ$5,0)</f>
        <v>84.85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>
        <v>80</v>
      </c>
      <c r="N10" s="165">
        <v>80</v>
      </c>
      <c r="O10" s="165">
        <v>80</v>
      </c>
      <c r="P10" s="165">
        <v>80</v>
      </c>
      <c r="Q10" s="165">
        <v>80</v>
      </c>
      <c r="R10" s="165">
        <v>80</v>
      </c>
      <c r="S10" s="165">
        <v>80</v>
      </c>
      <c r="T10" s="165">
        <v>80</v>
      </c>
      <c r="U10" s="165">
        <v>80</v>
      </c>
      <c r="V10" s="165">
        <v>80</v>
      </c>
      <c r="W10" s="165">
        <v>80</v>
      </c>
      <c r="X10" s="165">
        <v>80</v>
      </c>
      <c r="Y10" s="165">
        <v>80</v>
      </c>
      <c r="Z10" s="165"/>
      <c r="AA10" s="165">
        <v>80</v>
      </c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TP!$G$5:$H$24, 2, 0) &amp; ".",
"")</f>
        <v>aku menunjukkan penguasaan dalam meyakini Surah al-Mā’ūn sebagai firman Allah dengan benar.</v>
      </c>
      <c r="AT10" s="61" t="str">
        <f>IFERROR(
   'Identitas Siswa'!E9 &amp; " " &amp; LOWER($AT$4) &amp; " " &amp; VLOOKUP(AR10, TP!$G$5:$H$24, 2, 0) &amp; ".",
"")</f>
        <v>aku perlu bimbingan dalam meyakini Surah al-Mā’ūn sebagai firman Allah dengan benar.</v>
      </c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TP!$G$5:$H$24, 2, 0) &amp; ".",
"")</f>
        <v/>
      </c>
      <c r="AT11" s="61" t="str">
        <f>IFERROR(
   'Identitas Siswa'!E10 &amp; " " &amp; LOWER($AT$4) &amp; " " &amp; VLOOKUP(AR11, TP!$G$5:$H$24, 2, 0) &amp; ".",
"")</f>
        <v/>
      </c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TP!$G$5:$H$24, 2, 0) &amp; ".",
"")</f>
        <v/>
      </c>
      <c r="AT12" s="61" t="str">
        <f>IFERROR(
   'Identitas Siswa'!E11 &amp; " " &amp; LOWER($AT$4) &amp; " " &amp; VLOOKUP(AR12, TP!$G$5:$H$24, 2, 0) &amp; ".",
"")</f>
        <v/>
      </c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TP!$G$5:$H$24, 2, 0) &amp; ".",
"")</f>
        <v/>
      </c>
      <c r="AT13" s="61" t="str">
        <f>IFERROR(
   'Identitas Siswa'!E12 &amp; " " &amp; LOWER($AT$4) &amp; " " &amp; VLOOKUP(AR13, TP!$G$5:$H$24, 2, 0) &amp; ".",
"")</f>
        <v/>
      </c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TP!$G$5:$H$24, 2, 0) &amp; ".",
"")</f>
        <v/>
      </c>
      <c r="AT14" s="61" t="str">
        <f>IFERROR(
   'Identitas Siswa'!E13 &amp; " " &amp; LOWER($AT$4) &amp; " " &amp; VLOOKUP(AR14, TP!$G$5:$H$24, 2, 0) &amp; ".",
"")</f>
        <v/>
      </c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TP!$G$5:$H$24, 2, 0) &amp; ".",
"")</f>
        <v/>
      </c>
      <c r="AT15" s="61" t="str">
        <f>IFERROR(
   'Identitas Siswa'!E14 &amp; " " &amp; LOWER($AT$4) &amp; " " &amp; VLOOKUP(AR15, TP!$G$5:$H$24, 2, 0) &amp; ".",
"")</f>
        <v/>
      </c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TP!$G$5:$H$24, 2, 0) &amp; ".",
"")</f>
        <v/>
      </c>
      <c r="AT16" s="61" t="str">
        <f>IFERROR(
   'Identitas Siswa'!E15 &amp; " " &amp; LOWER($AT$4) &amp; " " &amp; VLOOKUP(AR16, TP!$G$5:$H$24, 2, 0) &amp; ".",
"")</f>
        <v/>
      </c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TP!$G$5:$H$24, 2, 0) &amp; ".",
"")</f>
        <v/>
      </c>
      <c r="AT17" s="61" t="str">
        <f>IFERROR(
   'Identitas Siswa'!E16 &amp; " " &amp; LOWER($AT$4) &amp; " " &amp; VLOOKUP(AR17, TP!$G$5:$H$24, 2, 0) &amp; ".",
"")</f>
        <v/>
      </c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TP!$G$5:$H$24, 2, 0) &amp; ".",
"")</f>
        <v/>
      </c>
      <c r="AT18" s="61" t="str">
        <f>IFERROR(
   'Identitas Siswa'!E17 &amp; " " &amp; LOWER($AT$4) &amp; " " &amp; VLOOKUP(AR18, TP!$G$5:$H$24, 2, 0) &amp; ".",
"")</f>
        <v/>
      </c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TP!$G$5:$H$24, 2, 0) &amp; ".",
"")</f>
        <v/>
      </c>
      <c r="AT19" s="61" t="str">
        <f>IFERROR(
   'Identitas Siswa'!E18 &amp; " " &amp; LOWER($AT$4) &amp; " " &amp; VLOOKUP(AR19, TP!$G$5:$H$24, 2, 0) &amp; ".",
"")</f>
        <v/>
      </c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TP!$G$5:$H$24, 2, 0) &amp; ".",
"")</f>
        <v/>
      </c>
      <c r="AT20" s="61" t="str">
        <f>IFERROR(
   'Identitas Siswa'!E19 &amp; " " &amp; LOWER($AT$4) &amp; " " &amp; VLOOKUP(AR20, TP!$G$5:$H$24, 2, 0) &amp; ".",
"")</f>
        <v/>
      </c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TP!$G$5:$H$24, 2, 0) &amp; ".",
"")</f>
        <v/>
      </c>
      <c r="AT21" s="61" t="str">
        <f>IFERROR(
   'Identitas Siswa'!E20 &amp; " " &amp; LOWER($AT$4) &amp; " " &amp; VLOOKUP(AR21, TP!$G$5:$H$24, 2, 0) &amp; ".",
"")</f>
        <v/>
      </c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TP!$G$5:$H$24, 2, 0) &amp; ".",
"")</f>
        <v/>
      </c>
      <c r="AT22" s="61" t="str">
        <f>IFERROR(
   'Identitas Siswa'!E21 &amp; " " &amp; LOWER($AT$4) &amp; " " &amp; VLOOKUP(AR22, TP!$G$5:$H$24, 2, 0) &amp; ".",
"")</f>
        <v/>
      </c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TP!$G$5:$H$24, 2, 0) &amp; ".",
"")</f>
        <v/>
      </c>
      <c r="AT23" s="61" t="str">
        <f>IFERROR(
   'Identitas Siswa'!E22 &amp; " " &amp; LOWER($AT$4) &amp; " " &amp; VLOOKUP(AR23, TP!$G$5:$H$24, 2, 0) &amp; ".",
"")</f>
        <v/>
      </c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TP!$G$5:$H$24, 2, 0) &amp; ".",
"")</f>
        <v/>
      </c>
      <c r="AT24" s="61" t="str">
        <f>IFERROR(
   'Identitas Siswa'!E23 &amp; " " &amp; LOWER($AT$4) &amp; " " &amp; VLOOKUP(AR24, TP!$G$5:$H$24, 2, 0) &amp; ".",
"")</f>
        <v/>
      </c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TP!$G$5:$H$24, 2, 0) &amp; ".",
"")</f>
        <v/>
      </c>
      <c r="AT25" s="61" t="str">
        <f>IFERROR(
   'Identitas Siswa'!E24 &amp; " " &amp; LOWER($AT$4) &amp; " " &amp; VLOOKUP(AR25, TP!$G$5:$H$24, 2, 0) &amp; ".",
"")</f>
        <v/>
      </c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TP!$G$5:$H$24, 2, 0) &amp; ".",
"")</f>
        <v/>
      </c>
      <c r="AT26" s="61" t="str">
        <f>IFERROR(
   'Identitas Siswa'!E25 &amp; " " &amp; LOWER($AT$4) &amp; " " &amp; VLOOKUP(AR26, TP!$G$5:$H$24, 2, 0) &amp; ".",
"")</f>
        <v/>
      </c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TP!$G$5:$H$24, 2, 0) &amp; ".",
"")</f>
        <v/>
      </c>
      <c r="AT27" s="61" t="str">
        <f>IFERROR(
   'Identitas Siswa'!E26 &amp; " " &amp; LOWER($AT$4) &amp; " " &amp; VLOOKUP(AR27, TP!$G$5:$H$24, 2, 0) &amp; ".",
"")</f>
        <v/>
      </c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TP!$G$5:$H$24, 2, 0) &amp; ".",
"")</f>
        <v/>
      </c>
      <c r="AT28" s="61" t="str">
        <f>IFERROR(
   'Identitas Siswa'!E27 &amp; " " &amp; LOWER($AT$4) &amp; " " &amp; VLOOKUP(AR28, TP!$G$5:$H$24, 2, 0) &amp; ".",
"")</f>
        <v/>
      </c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TP!$G$5:$H$24, 2, 0) &amp; ".",
"")</f>
        <v/>
      </c>
      <c r="AT29" s="61" t="str">
        <f>IFERROR(
   'Identitas Siswa'!E28 &amp; " " &amp; LOWER($AT$4) &amp; " " &amp; VLOOKUP(AR29, TP!$G$5:$H$24, 2, 0) &amp; ".",
"")</f>
        <v/>
      </c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TP!$G$5:$H$24, 2, 0) &amp; ".",
"")</f>
        <v/>
      </c>
      <c r="AT30" s="61" t="str">
        <f>IFERROR(
   'Identitas Siswa'!E29 &amp; " " &amp; LOWER($AT$4) &amp; " " &amp; VLOOKUP(AR30, TP!$G$5:$H$24, 2, 0) &amp; ".",
"")</f>
        <v/>
      </c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TP!$G$5:$H$24, 2, 0) &amp; ".",
"")</f>
        <v/>
      </c>
      <c r="AT31" s="61" t="str">
        <f>IFERROR(
   'Identitas Siswa'!E30 &amp; " " &amp; LOWER($AT$4) &amp; " " &amp; VLOOKUP(AR31, TP!$G$5:$H$24, 2, 0) &amp; ".",
"")</f>
        <v/>
      </c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TP!$G$5:$H$24, 2, 0) &amp; ".",
"")</f>
        <v/>
      </c>
      <c r="AT32" s="61" t="str">
        <f>IFERROR(
   'Identitas Siswa'!E31 &amp; " " &amp; LOWER($AT$4) &amp; " " &amp; VLOOKUP(AR32, TP!$G$5:$H$24, 2, 0) &amp; ".",
"")</f>
        <v/>
      </c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TP!$G$5:$H$24, 2, 0) &amp; ".",
"")</f>
        <v/>
      </c>
      <c r="AT33" s="61" t="str">
        <f>IFERROR(
   'Identitas Siswa'!E32 &amp; " " &amp; LOWER($AT$4) &amp; " " &amp; VLOOKUP(AR33, TP!$G$5:$H$24, 2, 0) &amp; ".",
"")</f>
        <v/>
      </c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TP!$G$5:$H$24, 2, 0) &amp; ".",
"")</f>
        <v/>
      </c>
      <c r="AT34" s="61" t="str">
        <f>IFERROR(
   'Identitas Siswa'!E33 &amp; " " &amp; LOWER($AT$4) &amp; " " &amp; VLOOKUP(AR34, TP!$G$5:$H$24, 2, 0) &amp; ".",
"")</f>
        <v/>
      </c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TP!$G$5:$H$24, 2, 0) &amp; ".",
"")</f>
        <v/>
      </c>
      <c r="AT35" s="61" t="str">
        <f>IFERROR(
   'Identitas Siswa'!E34 &amp; " " &amp; LOWER($AT$4) &amp; " " &amp; VLOOKUP(AR35, TP!$G$5:$H$24, 2, 0) &amp; ".",
"")</f>
        <v/>
      </c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TP!$G$5:$H$24, 2, 0) &amp; ".",
"")</f>
        <v/>
      </c>
      <c r="AT36" s="61" t="str">
        <f>IFERROR(
   'Identitas Siswa'!E35 &amp; " " &amp; LOWER($AT$4) &amp; " " &amp; VLOOKUP(AR36, TP!$G$5:$H$24, 2, 0) &amp; ".",
"")</f>
        <v/>
      </c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TP!$G$5:$H$24, 2, 0) &amp; ".",
"")</f>
        <v/>
      </c>
      <c r="AT37" s="61" t="str">
        <f>IFERROR(
   'Identitas Siswa'!E36 &amp; " " &amp; LOWER($AT$4) &amp; " " &amp; VLOOKUP(AR37, TP!$G$5:$H$24, 2, 0) &amp; ".",
"")</f>
        <v/>
      </c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TP!$G$5:$H$24, 2, 0) &amp; ".",
"")</f>
        <v/>
      </c>
      <c r="AT38" s="61" t="str">
        <f>IFERROR(
   'Identitas Siswa'!E37 &amp; " " &amp; LOWER($AT$4) &amp; " " &amp; VLOOKUP(AR38, TP!$G$5:$H$24, 2, 0) &amp; ".",
"")</f>
        <v/>
      </c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TP!$G$5:$H$24, 2, 0) &amp; ".",
"")</f>
        <v/>
      </c>
      <c r="AT39" s="61" t="str">
        <f>IFERROR(
   'Identitas Siswa'!E38 &amp; " " &amp; LOWER($AT$4) &amp; " " &amp; VLOOKUP(AR39, TP!$G$5:$H$24, 2, 0) &amp; ".",
"")</f>
        <v/>
      </c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TP!$G$5:$H$24, 2, 0) &amp; ".",
"")</f>
        <v/>
      </c>
      <c r="AT40" s="61" t="str">
        <f>IFERROR(
   'Identitas Siswa'!E39 &amp; " " &amp; LOWER($AT$4) &amp; " " &amp; VLOOKUP(AR40, TP!$G$5:$H$24, 2, 0) &amp; ".",
"")</f>
        <v/>
      </c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TP!$G$5:$H$24, 2, 0) &amp; ".",
"")</f>
        <v/>
      </c>
      <c r="AT41" s="61" t="str">
        <f>IFERROR(
   'Identitas Siswa'!E40 &amp; " " &amp; LOWER($AT$4) &amp; " " &amp; VLOOKUP(AR41, TP!$G$5:$H$24, 2, 0) &amp; ".",
"")</f>
        <v/>
      </c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TP!$G$5:$H$24, 2, 0) &amp; ".",
"")</f>
        <v/>
      </c>
      <c r="AT42" s="61" t="str">
        <f>IFERROR(
   'Identitas Siswa'!E41 &amp; " " &amp; LOWER($AT$4) &amp; " " &amp; VLOOKUP(AR42, TP!$G$5:$H$24, 2, 0) &amp; ".",
"")</f>
        <v/>
      </c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TP!$G$5:$H$24, 2, 0) &amp; ".",
"")</f>
        <v/>
      </c>
      <c r="AT43" s="61" t="str">
        <f>IFERROR(
   'Identitas Siswa'!E42 &amp; " " &amp; LOWER($AT$4) &amp; " " &amp; VLOOKUP(AR43, TP!$G$5:$H$24, 2, 0) &amp; ".",
"")</f>
        <v/>
      </c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TP!$G$5:$H$24, 2, 0) &amp; ".",
"")</f>
        <v/>
      </c>
      <c r="AT44" s="61" t="str">
        <f>IFERROR(
   'Identitas Siswa'!E43 &amp; " " &amp; LOWER($AT$4) &amp; " " &amp; VLOOKUP(AR44, TP!$G$5:$H$24, 2, 0) &amp; ".",
"")</f>
        <v/>
      </c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TP!$G$5:$H$24, 2, 0) &amp; ".",
"")</f>
        <v/>
      </c>
      <c r="AT45" s="61" t="str">
        <f>IFERROR(
   'Identitas Siswa'!E44 &amp; " " &amp; LOWER($AT$4) &amp; " " &amp; VLOOKUP(AR45, TP!$G$5:$H$24, 2, 0) &amp; ".",
"")</f>
        <v/>
      </c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TP!$G$5:$H$24, 2, 0) &amp; ".",
"")</f>
        <v/>
      </c>
      <c r="AT46" s="61" t="str">
        <f>IFERROR(
   'Identitas Siswa'!E45 &amp; " " &amp; LOWER($AT$4) &amp; " " &amp; VLOOKUP(AR46, TP!$G$5:$H$24, 2, 0) &amp; ".",
"")</f>
        <v/>
      </c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TP!$G$5:$H$24, 2, 0) &amp; ".",
"")</f>
        <v/>
      </c>
      <c r="AT47" s="61" t="str">
        <f>IFERROR(
   'Identitas Siswa'!E46 &amp; " " &amp; LOWER($AT$4) &amp; " " &amp; VLOOKUP(AR47, TP!$G$5:$H$24, 2, 0) &amp; ".",
"")</f>
        <v/>
      </c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TP!$G$5:$H$24, 2, 0) &amp; ".",
"")</f>
        <v/>
      </c>
      <c r="AT48" s="61" t="str">
        <f>IFERROR(
   'Identitas Siswa'!E47 &amp; " " &amp; LOWER($AT$4) &amp; " " &amp; VLOOKUP(AR48, TP!$G$5:$H$24, 2, 0) &amp; ".",
"")</f>
        <v/>
      </c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TP!$G$5:$H$24, 2, 0) &amp; ".",
"")</f>
        <v/>
      </c>
      <c r="AT49" s="61" t="str">
        <f>IFERROR(
   'Identitas Siswa'!E48 &amp; " " &amp; LOWER($AT$4) &amp; " " &amp; VLOOKUP(AR49, TP!$G$5:$H$24, 2, 0) &amp; ".",
"")</f>
        <v/>
      </c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TP!$G$5:$H$24, 2, 0) &amp; ".",
"")</f>
        <v/>
      </c>
      <c r="AT50" s="61" t="str">
        <f>IFERROR(
   'Identitas Siswa'!E49 &amp; " " &amp; LOWER($AT$4) &amp; " " &amp; VLOOKUP(AR50, TP!$G$5:$H$24, 2, 0) &amp; ".",
"")</f>
        <v/>
      </c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TP!$G$5:$H$24, 2, 0) &amp; ".",
"")</f>
        <v/>
      </c>
      <c r="AT51" s="61" t="str">
        <f>IFERROR(
   'Identitas Siswa'!E50 &amp; " " &amp; LOWER($AT$4) &amp; " " &amp; VLOOKUP(AR51, TP!$G$5:$H$24, 2, 0) &amp; ".",
"")</f>
        <v/>
      </c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TP!$G$5:$H$24, 2, 0) &amp; ".",
"")</f>
        <v/>
      </c>
      <c r="AT52" s="61" t="str">
        <f>IFERROR(
   'Identitas Siswa'!E51 &amp; " " &amp; LOWER($AT$4) &amp; " " &amp; VLOOKUP(AR52, TP!$G$5:$H$24, 2, 0) &amp; ".",
"")</f>
        <v/>
      </c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TP!$G$5:$H$24, 2, 0) &amp; ".",
"")</f>
        <v/>
      </c>
      <c r="AT53" s="61" t="str">
        <f>IFERROR(
   'Identitas Siswa'!E52 &amp; " " &amp; LOWER($AT$4) &amp; " " &amp; VLOOKUP(AR53, TP!$G$5:$H$24, 2, 0) &amp; ".",
"")</f>
        <v/>
      </c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TP!$G$5:$H$24, 2, 0) &amp; ".",
"")</f>
        <v/>
      </c>
      <c r="AT54" s="61" t="str">
        <f>IFERROR(
   'Identitas Siswa'!E53 &amp; " " &amp; LOWER($AT$4) &amp; " " &amp; VLOOKUP(AR54, TP!$G$5:$H$24, 2, 0) &amp; ".",
"")</f>
        <v/>
      </c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TP!$G$5:$H$24, 2, 0) &amp; ".",
"")</f>
        <v/>
      </c>
      <c r="AT55" s="61" t="str">
        <f>IFERROR(
   'Identitas Siswa'!E54 &amp; " " &amp; LOWER($AT$4) &amp; " " &amp; VLOOKUP(AR55, TP!$G$5:$H$24, 2, 0) &amp; ".",
"")</f>
        <v/>
      </c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TP!$G$5:$H$24, 2, 0) &amp; ".",
"")</f>
        <v/>
      </c>
      <c r="AT56" s="61" t="str">
        <f>IFERROR(
   'Identitas Siswa'!E55 &amp; " " &amp; LOWER($AT$4) &amp; " " &amp; VLOOKUP(AR56, TP!$G$5:$H$24, 2, 0) &amp; ".",
"")</f>
        <v/>
      </c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TP!$G$5:$H$24, 2, 0) &amp; ".",
"")</f>
        <v/>
      </c>
      <c r="AT57" s="61" t="str">
        <f>IFERROR(
   'Identitas Siswa'!E56 &amp; " " &amp; LOWER($AT$4) &amp; " " &amp; VLOOKUP(AR57, TP!$G$5:$H$24, 2, 0) &amp; ".",
"")</f>
        <v/>
      </c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TP!$G$5:$H$24, 2, 0) &amp; ".",
"")</f>
        <v/>
      </c>
      <c r="AT58" s="61" t="str">
        <f>IFERROR(
   'Identitas Siswa'!E57 &amp; " " &amp; LOWER($AT$4) &amp; " " &amp; VLOOKUP(AR58, TP!$G$5:$H$24, 2, 0) &amp; ".",
"")</f>
        <v/>
      </c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TP!$G$5:$H$24, 2, 0) &amp; ".",
"")</f>
        <v/>
      </c>
      <c r="AT59" s="61" t="str">
        <f>IFERROR(
   'Identitas Siswa'!E58 &amp; " " &amp; LOWER($AT$4) &amp; " " &amp; VLOOKUP(AR59, TP!$G$5:$H$24, 2, 0) &amp; ".",
"")</f>
        <v/>
      </c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TP!$G$5:$H$24, 2, 0) &amp; ".",
"")</f>
        <v/>
      </c>
      <c r="AT60" s="61" t="str">
        <f>IFERROR(
   'Identitas Siswa'!E59 &amp; " " &amp; LOWER($AT$4) &amp; " " &amp; VLOOKUP(AR60, TP!$G$5:$H$24, 2, 0) &amp; ".",
"")</f>
        <v/>
      </c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TP!$G$5:$H$24, 2, 0) &amp; ".",
"")</f>
        <v/>
      </c>
      <c r="AT61" s="61" t="str">
        <f>IFERROR(
   'Identitas Siswa'!E60 &amp; " " &amp; LOWER($AT$4) &amp; " " &amp; VLOOKUP(AR61, TP!$G$5:$H$24, 2, 0) &amp; ".",
"")</f>
        <v/>
      </c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TP!$G$5:$H$24, 2, 0) &amp; ".",
"")</f>
        <v/>
      </c>
      <c r="AT62" s="61" t="str">
        <f>IFERROR(
   'Identitas Siswa'!E61 &amp; " " &amp; LOWER($AT$4) &amp; " " &amp; VLOOKUP(AR62, TP!$G$5:$H$24, 2, 0) &amp; ".",
"")</f>
        <v/>
      </c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TP!$G$5:$H$24, 2, 0) &amp; ".",
"")</f>
        <v/>
      </c>
      <c r="AT63" s="61" t="str">
        <f>IFERROR(
   'Identitas Siswa'!E62 &amp; " " &amp; LOWER($AT$4) &amp; " " &amp; VLOOKUP(AR63, TP!$G$5:$H$24, 2, 0) &amp; ".",
"")</f>
        <v/>
      </c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TP!$G$5:$H$24, 2, 0) &amp; ".",
"")</f>
        <v/>
      </c>
      <c r="AT64" s="61" t="str">
        <f>IFERROR(
   'Identitas Siswa'!E63 &amp; " " &amp; LOWER($AT$4) &amp; " " &amp; VLOOKUP(AR64, TP!$G$5:$H$24, 2, 0) &amp; ".",
"")</f>
        <v/>
      </c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TP!$G$5:$H$24, 2, 0) &amp; ".",
"")</f>
        <v/>
      </c>
      <c r="AT65" s="61" t="str">
        <f>IFERROR(
   'Identitas Siswa'!E64 &amp; " " &amp; LOWER($AT$4) &amp; " " &amp; VLOOKUP(AR65, TP!$G$5:$H$24, 2, 0) &amp; ".",
"")</f>
        <v/>
      </c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TP!$G$5:$H$24, 2, 0) &amp; ".",
"")</f>
        <v/>
      </c>
      <c r="AT66" s="61" t="str">
        <f>IFERROR(
   'Identitas Siswa'!E65 &amp; " " &amp; LOWER($AT$4) &amp; " " &amp; VLOOKUP(AR66, TP!$G$5:$H$24, 2, 0) &amp; ".",
"")</f>
        <v/>
      </c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TP!$G$5:$H$24, 2, 0) &amp; ".",
"")</f>
        <v/>
      </c>
      <c r="AT67" s="61" t="str">
        <f>IFERROR(
   'Identitas Siswa'!E66 &amp; " " &amp; LOWER($AT$4) &amp; " " &amp; VLOOKUP(AR67, TP!$G$5:$H$24, 2, 0) &amp; ".",
"")</f>
        <v/>
      </c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TP!$G$5:$H$24, 2, 0) &amp; ".",
"")</f>
        <v/>
      </c>
      <c r="AT68" s="61" t="str">
        <f>IFERROR(
   'Identitas Siswa'!E67 &amp; " " &amp; LOWER($AT$4) &amp; " " &amp; VLOOKUP(AR68, TP!$G$5:$H$24, 2, 0) &amp; ".",
"")</f>
        <v/>
      </c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s="15" customFormat="1" x14ac:dyDescent="0.25"/>
    <row r="70" spans="1:58" s="15" customFormat="1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511" priority="32">
      <formula>$C$8=""</formula>
    </cfRule>
  </conditionalFormatting>
  <conditionalFormatting sqref="D9:D68">
    <cfRule type="expression" dxfId="510" priority="31">
      <formula>$D$8=""</formula>
    </cfRule>
  </conditionalFormatting>
  <conditionalFormatting sqref="E9:E68">
    <cfRule type="expression" dxfId="509" priority="30">
      <formula>$E$8=""</formula>
    </cfRule>
  </conditionalFormatting>
  <conditionalFormatting sqref="F9:F68">
    <cfRule type="expression" dxfId="508" priority="29">
      <formula>$F$8=""</formula>
    </cfRule>
  </conditionalFormatting>
  <conditionalFormatting sqref="G9:G68">
    <cfRule type="expression" dxfId="507" priority="28">
      <formula>$G$8=""</formula>
    </cfRule>
  </conditionalFormatting>
  <conditionalFormatting sqref="H9:H68">
    <cfRule type="expression" dxfId="506" priority="27">
      <formula>$H$8=""</formula>
    </cfRule>
  </conditionalFormatting>
  <conditionalFormatting sqref="I9:I68">
    <cfRule type="expression" dxfId="505" priority="26">
      <formula>$I$8=""</formula>
    </cfRule>
  </conditionalFormatting>
  <conditionalFormatting sqref="J9:J68">
    <cfRule type="expression" dxfId="504" priority="25">
      <formula>$J$8=""</formula>
    </cfRule>
  </conditionalFormatting>
  <conditionalFormatting sqref="K9:K68">
    <cfRule type="expression" dxfId="503" priority="24">
      <formula>$K$8=""</formula>
    </cfRule>
  </conditionalFormatting>
  <conditionalFormatting sqref="L9:L68">
    <cfRule type="expression" dxfId="502" priority="23">
      <formula>$L$8=""</formula>
    </cfRule>
  </conditionalFormatting>
  <conditionalFormatting sqref="M9:M68">
    <cfRule type="expression" dxfId="501" priority="22">
      <formula>$M$8=""</formula>
    </cfRule>
  </conditionalFormatting>
  <conditionalFormatting sqref="N9:N68">
    <cfRule type="expression" dxfId="500" priority="21">
      <formula>$N$8=""</formula>
    </cfRule>
  </conditionalFormatting>
  <conditionalFormatting sqref="O9:O68">
    <cfRule type="expression" dxfId="499" priority="20">
      <formula>$O$8=""</formula>
    </cfRule>
  </conditionalFormatting>
  <conditionalFormatting sqref="P9:P68">
    <cfRule type="expression" dxfId="498" priority="19">
      <formula>$P$8=""</formula>
    </cfRule>
  </conditionalFormatting>
  <conditionalFormatting sqref="Q9:Q68">
    <cfRule type="expression" dxfId="497" priority="18">
      <formula>$Q$8=""</formula>
    </cfRule>
  </conditionalFormatting>
  <conditionalFormatting sqref="R9:R68">
    <cfRule type="expression" dxfId="496" priority="17">
      <formula>$R$8=""</formula>
    </cfRule>
  </conditionalFormatting>
  <conditionalFormatting sqref="S9:S68">
    <cfRule type="expression" dxfId="495" priority="16">
      <formula>$S$8=""</formula>
    </cfRule>
  </conditionalFormatting>
  <conditionalFormatting sqref="T9:T68">
    <cfRule type="expression" dxfId="494" priority="15">
      <formula>$T$8=""</formula>
    </cfRule>
  </conditionalFormatting>
  <conditionalFormatting sqref="U9:U68">
    <cfRule type="expression" dxfId="493" priority="14">
      <formula>$U$8=""</formula>
    </cfRule>
  </conditionalFormatting>
  <conditionalFormatting sqref="V9:V68">
    <cfRule type="expression" dxfId="492" priority="13">
      <formula>$V$8=""</formula>
    </cfRule>
  </conditionalFormatting>
  <conditionalFormatting sqref="W9:W68">
    <cfRule type="expression" dxfId="491" priority="12">
      <formula>$W$8=""</formula>
    </cfRule>
  </conditionalFormatting>
  <conditionalFormatting sqref="X9:X68">
    <cfRule type="expression" dxfId="490" priority="11">
      <formula>$X$8=""</formula>
    </cfRule>
  </conditionalFormatting>
  <conditionalFormatting sqref="Y9:Y68">
    <cfRule type="expression" dxfId="489" priority="10">
      <formula>$Y$8=""</formula>
    </cfRule>
  </conditionalFormatting>
  <conditionalFormatting sqref="Z9:Z68">
    <cfRule type="expression" dxfId="488" priority="9">
      <formula>$Z$8=""</formula>
    </cfRule>
  </conditionalFormatting>
  <conditionalFormatting sqref="AA9:AA68">
    <cfRule type="expression" dxfId="487" priority="8">
      <formula>$AA$8=""</formula>
    </cfRule>
  </conditionalFormatting>
  <conditionalFormatting sqref="AB9:AB68">
    <cfRule type="expression" dxfId="486" priority="7">
      <formula>$AB$8=""</formula>
    </cfRule>
  </conditionalFormatting>
  <conditionalFormatting sqref="AC9:AC68">
    <cfRule type="expression" dxfId="485" priority="6">
      <formula>$AC$8=""</formula>
    </cfRule>
  </conditionalFormatting>
  <conditionalFormatting sqref="AD9:AD68">
    <cfRule type="expression" dxfId="484" priority="5">
      <formula>$AD$8=""</formula>
    </cfRule>
  </conditionalFormatting>
  <conditionalFormatting sqref="AE9:AE68">
    <cfRule type="expression" dxfId="483" priority="4">
      <formula>$AE$8=""</formula>
    </cfRule>
  </conditionalFormatting>
  <conditionalFormatting sqref="AF9:AF68">
    <cfRule type="expression" dxfId="482" priority="3">
      <formula>$AF$8=""</formula>
    </cfRule>
  </conditionalFormatting>
  <conditionalFormatting sqref="AG9:AG68">
    <cfRule type="expression" dxfId="481" priority="2">
      <formula>$AG$8=""</formula>
    </cfRule>
  </conditionalFormatting>
  <conditionalFormatting sqref="AH9:AH68">
    <cfRule type="expression" dxfId="48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1</xdr:col>
                <xdr:colOff>19050</xdr:colOff>
                <xdr:row>1</xdr:row>
                <xdr:rowOff>28575</xdr:rowOff>
              </from>
              <to>
                <xdr:col>1</xdr:col>
                <xdr:colOff>1743075</xdr:colOff>
                <xdr:row>4</xdr:row>
                <xdr:rowOff>133350</xdr:rowOff>
              </to>
            </anchor>
          </controlPr>
        </control>
      </mc:Choice>
      <mc:Fallback>
        <control shapeId="32769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F2C56-B623-4FAA-87B8-00DA46EC9B9B}">
  <sheetPr codeName="Sheet7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sqref="AT3:AT4"/>
    </sheetView>
  </sheetViews>
  <sheetFormatPr defaultColWidth="0" defaultRowHeight="15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IF(TRANSPOSE(TP!K5:K24)="", "", TRANSPOSE(TP!K5:K24))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8" t="str" cm="1">
        <f t="array" ref="W8:AH8">IF(TRANSPOSE(TP!J5:J16)="", "", TRANSPOSE(TP!J5:J16))</f>
        <v>Pancasila dalam Kehidupanku</v>
      </c>
      <c r="X8" s="58" t="str">
        <v>Norma dalam Kehidupan</v>
      </c>
      <c r="Y8" s="82" t="str">
        <v/>
      </c>
      <c r="Z8" s="82" t="str">
        <v/>
      </c>
      <c r="AA8" s="82" t="str">
        <v/>
      </c>
      <c r="AB8" s="82" t="str">
        <v/>
      </c>
      <c r="AC8" s="82" t="str">
        <v/>
      </c>
      <c r="AD8" s="82" t="str">
        <v/>
      </c>
      <c r="AE8" s="82" t="str">
        <v/>
      </c>
      <c r="AF8" s="82" t="str">
        <v/>
      </c>
      <c r="AG8" s="82" t="str">
        <v/>
      </c>
      <c r="AH8" s="82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TP!$K$5:$L$24, 2, 0) &amp; ".",
"")</f>
        <v>Abhy menunjukkan penguasaan dalam menceritakan perilaku yang sesuai dengan nilai-nilai Pancasila.</v>
      </c>
      <c r="AT9" s="61" t="str">
        <f>IFERROR(
   'Identitas Siswa'!E8 &amp; " " &amp; LOWER($AT$4) &amp; " " &amp; VLOOKUP(AR9, TP!$K$5:$L$24, 2, 0) &amp; ".",
"")</f>
        <v>Abhy perlu bimbingan dalam menceritakan perilaku yang sesuai dengan nilai-nilai Pancasila.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TP!$K$5:$L$24, 2, 0) &amp; ".",
"")</f>
        <v>aku menunjukkan penguasaan dalam menceritakan perilaku yang sesuai dengan nilai-nilai Pancasila.</v>
      </c>
      <c r="AT10" s="61" t="str">
        <f>IFERROR(
   'Identitas Siswa'!E9 &amp; " " &amp; LOWER($AT$4) &amp; " " &amp; VLOOKUP(AR10, TP!$K$5:$L$24, 2, 0) &amp; ".",
"")</f>
        <v>aku perlu bimbingan dalam menceritakan perilaku yang sesuai dengan nilai-nilai Pancasila.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23" si="7">MAX(C11:V11)</f>
        <v>0</v>
      </c>
      <c r="AP11" s="59" t="str">
        <f t="shared" ref="AP11:AP23" si="8">IFERROR(INDEX(C$8:V$8, MATCH(AO11, C11:V11, 0)), "")</f>
        <v/>
      </c>
      <c r="AQ11" s="59">
        <f t="shared" ref="AQ11:AQ23" si="9">MIN(C11:V11)</f>
        <v>0</v>
      </c>
      <c r="AR11" s="59" t="str">
        <f t="shared" ref="AR11:AR23" si="10">IFERROR(INDEX(C$8:V$8, MATCH(AQ11, C11:V11, 0)), "")</f>
        <v/>
      </c>
      <c r="AS11" s="61" t="str">
        <f>IFERROR(
   'Identitas Siswa'!E10 &amp; " " &amp; LOWER($AT$3) &amp; " " &amp; VLOOKUP(AP11, TP!$K$5:$L$24, 2, 0) &amp; ".",
"")</f>
        <v/>
      </c>
      <c r="AT11" s="61" t="str">
        <f>IFERROR(
   'Identitas Siswa'!E10 &amp; " " &amp; LOWER($AT$4) &amp; " " &amp; VLOOKUP(AR11, TP!$K$5:$L$24,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TP!$K$5:$L$24, 2, 0) &amp; ".",
"")</f>
        <v/>
      </c>
      <c r="AT12" s="61" t="str">
        <f>IFERROR(
   'Identitas Siswa'!E11 &amp; " " &amp; LOWER($AT$4) &amp; " " &amp; VLOOKUP(AR12, TP!$K$5:$L$24,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TP!$K$5:$L$24, 2, 0) &amp; ".",
"")</f>
        <v/>
      </c>
      <c r="AT13" s="61" t="str">
        <f>IFERROR(
   'Identitas Siswa'!E12 &amp; " " &amp; LOWER($AT$4) &amp; " " &amp; VLOOKUP(AR13, TP!$K$5:$L$24,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TP!$K$5:$L$24, 2, 0) &amp; ".",
"")</f>
        <v/>
      </c>
      <c r="AT14" s="61" t="str">
        <f>IFERROR(
   'Identitas Siswa'!E13 &amp; " " &amp; LOWER($AT$4) &amp; " " &amp; VLOOKUP(AR14, TP!$K$5:$L$24,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TP!$K$5:$L$24, 2, 0) &amp; ".",
"")</f>
        <v/>
      </c>
      <c r="AT15" s="61" t="str">
        <f>IFERROR(
   'Identitas Siswa'!E14 &amp; " " &amp; LOWER($AT$4) &amp; " " &amp; VLOOKUP(AR15, TP!$K$5:$L$24,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TP!$K$5:$L$24, 2, 0) &amp; ".",
"")</f>
        <v/>
      </c>
      <c r="AT16" s="61" t="str">
        <f>IFERROR(
   'Identitas Siswa'!E15 &amp; " " &amp; LOWER($AT$4) &amp; " " &amp; VLOOKUP(AR16, TP!$K$5:$L$24,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TP!$K$5:$L$24, 2, 0) &amp; ".",
"")</f>
        <v/>
      </c>
      <c r="AT17" s="61" t="str">
        <f>IFERROR(
   'Identitas Siswa'!E16 &amp; " " &amp; LOWER($AT$4) &amp; " " &amp; VLOOKUP(AR17, TP!$K$5:$L$24,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TP!$K$5:$L$24, 2, 0) &amp; ".",
"")</f>
        <v/>
      </c>
      <c r="AT18" s="61" t="str">
        <f>IFERROR(
   'Identitas Siswa'!E17 &amp; " " &amp; LOWER($AT$4) &amp; " " &amp; VLOOKUP(AR18, TP!$K$5:$L$24,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TP!$K$5:$L$24, 2, 0) &amp; ".",
"")</f>
        <v/>
      </c>
      <c r="AT19" s="61" t="str">
        <f>IFERROR(
   'Identitas Siswa'!E18 &amp; " " &amp; LOWER($AT$4) &amp; " " &amp; VLOOKUP(AR19, TP!$K$5:$L$24,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TP!$K$5:$L$24, 2, 0) &amp; ".",
"")</f>
        <v/>
      </c>
      <c r="AT20" s="61" t="str">
        <f>IFERROR(
   'Identitas Siswa'!E19 &amp; " " &amp; LOWER($AT$4) &amp; " " &amp; VLOOKUP(AR20, TP!$K$5:$L$24,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TP!$K$5:$L$24, 2, 0) &amp; ".",
"")</f>
        <v/>
      </c>
      <c r="AT21" s="61" t="str">
        <f>IFERROR(
   'Identitas Siswa'!E20 &amp; " " &amp; LOWER($AT$4) &amp; " " &amp; VLOOKUP(AR21, TP!$K$5:$L$24,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TP!$K$5:$L$24, 2, 0) &amp; ".",
"")</f>
        <v/>
      </c>
      <c r="AT22" s="61" t="str">
        <f>IFERROR(
   'Identitas Siswa'!E21 &amp; " " &amp; LOWER($AT$4) &amp; " " &amp; VLOOKUP(AR22, TP!$K$5:$L$24,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TP!$K$5:$L$24, 2, 0) &amp; ".",
"")</f>
        <v/>
      </c>
      <c r="AT23" s="61" t="str">
        <f>IFERROR(
   'Identitas Siswa'!E22 &amp; " " &amp; LOWER($AT$4) &amp; " " &amp; VLOOKUP(AR23, TP!$K$5:$L$24,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ref="AO24:AO68" si="12">MAX(C24:V24)</f>
        <v>0</v>
      </c>
      <c r="AP24" s="59" t="str">
        <f t="shared" ref="AP24:AP68" si="13">IFERROR(INDEX(C$8:V$8, MATCH(AO24, C24:V24, 0)), "")</f>
        <v/>
      </c>
      <c r="AQ24" s="59">
        <f t="shared" ref="AQ24:AQ68" si="14">MIN(C24:V24)</f>
        <v>0</v>
      </c>
      <c r="AR24" s="59" t="str">
        <f t="shared" ref="AR24:AR68" si="15">IFERROR(INDEX(C$8:V$8, MATCH(AQ24, C24:V24, 0)), "")</f>
        <v/>
      </c>
      <c r="AS24" s="61" t="str">
        <f>IFERROR(
   'Identitas Siswa'!E23 &amp; " " &amp; LOWER($AT$3) &amp; " " &amp; VLOOKUP(AP24, TP!$K$5:$L$24, 2, 0) &amp; ".",
"")</f>
        <v/>
      </c>
      <c r="AT24" s="61" t="str">
        <f>IFERROR(
   'Identitas Siswa'!E23 &amp; " " &amp; LOWER($AT$4) &amp; " " &amp; VLOOKUP(AR24, TP!$K$5:$L$24,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12"/>
        <v>0</v>
      </c>
      <c r="AP25" s="59" t="str">
        <f t="shared" si="13"/>
        <v/>
      </c>
      <c r="AQ25" s="59">
        <f t="shared" si="14"/>
        <v>0</v>
      </c>
      <c r="AR25" s="59" t="str">
        <f t="shared" si="15"/>
        <v/>
      </c>
      <c r="AS25" s="61" t="str">
        <f>IFERROR(
   'Identitas Siswa'!E24 &amp; " " &amp; LOWER($AT$3) &amp; " " &amp; VLOOKUP(AP25, TP!$K$5:$L$24, 2, 0) &amp; ".",
"")</f>
        <v/>
      </c>
      <c r="AT25" s="61" t="str">
        <f>IFERROR(
   'Identitas Siswa'!E24 &amp; " " &amp; LOWER($AT$4) &amp; " " &amp; VLOOKUP(AR25, TP!$K$5:$L$24,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12"/>
        <v>0</v>
      </c>
      <c r="AP26" s="59" t="str">
        <f t="shared" si="13"/>
        <v/>
      </c>
      <c r="AQ26" s="59">
        <f t="shared" si="14"/>
        <v>0</v>
      </c>
      <c r="AR26" s="59" t="str">
        <f t="shared" si="15"/>
        <v/>
      </c>
      <c r="AS26" s="61" t="str">
        <f>IFERROR(
   'Identitas Siswa'!E25 &amp; " " &amp; LOWER($AT$3) &amp; " " &amp; VLOOKUP(AP26, TP!$K$5:$L$24, 2, 0) &amp; ".",
"")</f>
        <v/>
      </c>
      <c r="AT26" s="61" t="str">
        <f>IFERROR(
   'Identitas Siswa'!E25 &amp; " " &amp; LOWER($AT$4) &amp; " " &amp; VLOOKUP(AR26, TP!$K$5:$L$24,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12"/>
        <v>0</v>
      </c>
      <c r="AP27" s="59" t="str">
        <f t="shared" si="13"/>
        <v/>
      </c>
      <c r="AQ27" s="59">
        <f t="shared" si="14"/>
        <v>0</v>
      </c>
      <c r="AR27" s="59" t="str">
        <f t="shared" si="15"/>
        <v/>
      </c>
      <c r="AS27" s="61" t="str">
        <f>IFERROR(
   'Identitas Siswa'!E26 &amp; " " &amp; LOWER($AT$3) &amp; " " &amp; VLOOKUP(AP27, TP!$K$5:$L$24, 2, 0) &amp; ".",
"")</f>
        <v/>
      </c>
      <c r="AT27" s="61" t="str">
        <f>IFERROR(
   'Identitas Siswa'!E26 &amp; " " &amp; LOWER($AT$4) &amp; " " &amp; VLOOKUP(AR27, TP!$K$5:$L$24,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12"/>
        <v>0</v>
      </c>
      <c r="AP28" s="59" t="str">
        <f t="shared" si="13"/>
        <v/>
      </c>
      <c r="AQ28" s="59">
        <f t="shared" si="14"/>
        <v>0</v>
      </c>
      <c r="AR28" s="59" t="str">
        <f t="shared" si="15"/>
        <v/>
      </c>
      <c r="AS28" s="61" t="str">
        <f>IFERROR(
   'Identitas Siswa'!E27 &amp; " " &amp; LOWER($AT$3) &amp; " " &amp; VLOOKUP(AP28, TP!$K$5:$L$24, 2, 0) &amp; ".",
"")</f>
        <v/>
      </c>
      <c r="AT28" s="61" t="str">
        <f>IFERROR(
   'Identitas Siswa'!E27 &amp; " " &amp; LOWER($AT$4) &amp; " " &amp; VLOOKUP(AR28, TP!$K$5:$L$24,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12"/>
        <v>0</v>
      </c>
      <c r="AP29" s="59" t="str">
        <f t="shared" si="13"/>
        <v/>
      </c>
      <c r="AQ29" s="59">
        <f t="shared" si="14"/>
        <v>0</v>
      </c>
      <c r="AR29" s="59" t="str">
        <f t="shared" si="15"/>
        <v/>
      </c>
      <c r="AS29" s="61" t="str">
        <f>IFERROR(
   'Identitas Siswa'!E28 &amp; " " &amp; LOWER($AT$3) &amp; " " &amp; VLOOKUP(AP29, TP!$K$5:$L$24, 2, 0) &amp; ".",
"")</f>
        <v/>
      </c>
      <c r="AT29" s="61" t="str">
        <f>IFERROR(
   'Identitas Siswa'!E28 &amp; " " &amp; LOWER($AT$4) &amp; " " &amp; VLOOKUP(AR29, TP!$K$5:$L$24,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12"/>
        <v>0</v>
      </c>
      <c r="AP30" s="59" t="str">
        <f t="shared" si="13"/>
        <v/>
      </c>
      <c r="AQ30" s="59">
        <f t="shared" si="14"/>
        <v>0</v>
      </c>
      <c r="AR30" s="59" t="str">
        <f t="shared" si="15"/>
        <v/>
      </c>
      <c r="AS30" s="61" t="str">
        <f>IFERROR(
   'Identitas Siswa'!E29 &amp; " " &amp; LOWER($AT$3) &amp; " " &amp; VLOOKUP(AP30, TP!$K$5:$L$24, 2, 0) &amp; ".",
"")</f>
        <v/>
      </c>
      <c r="AT30" s="61" t="str">
        <f>IFERROR(
   'Identitas Siswa'!E29 &amp; " " &amp; LOWER($AT$4) &amp; " " &amp; VLOOKUP(AR30, TP!$K$5:$L$24,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12"/>
        <v>0</v>
      </c>
      <c r="AP31" s="59" t="str">
        <f t="shared" si="13"/>
        <v/>
      </c>
      <c r="AQ31" s="59">
        <f t="shared" si="14"/>
        <v>0</v>
      </c>
      <c r="AR31" s="59" t="str">
        <f t="shared" si="15"/>
        <v/>
      </c>
      <c r="AS31" s="61" t="str">
        <f>IFERROR(
   'Identitas Siswa'!E30 &amp; " " &amp; LOWER($AT$3) &amp; " " &amp; VLOOKUP(AP31, TP!$K$5:$L$24, 2, 0) &amp; ".",
"")</f>
        <v/>
      </c>
      <c r="AT31" s="61" t="str">
        <f>IFERROR(
   'Identitas Siswa'!E30 &amp; " " &amp; LOWER($AT$4) &amp; " " &amp; VLOOKUP(AR31, TP!$K$5:$L$24,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12"/>
        <v>0</v>
      </c>
      <c r="AP32" s="59" t="str">
        <f t="shared" si="13"/>
        <v/>
      </c>
      <c r="AQ32" s="59">
        <f t="shared" si="14"/>
        <v>0</v>
      </c>
      <c r="AR32" s="59" t="str">
        <f t="shared" si="15"/>
        <v/>
      </c>
      <c r="AS32" s="61" t="str">
        <f>IFERROR(
   'Identitas Siswa'!E31 &amp; " " &amp; LOWER($AT$3) &amp; " " &amp; VLOOKUP(AP32, TP!$K$5:$L$24, 2, 0) &amp; ".",
"")</f>
        <v/>
      </c>
      <c r="AT32" s="61" t="str">
        <f>IFERROR(
   'Identitas Siswa'!E31 &amp; " " &amp; LOWER($AT$4) &amp; " " &amp; VLOOKUP(AR32, TP!$K$5:$L$24,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12"/>
        <v>0</v>
      </c>
      <c r="AP33" s="59" t="str">
        <f t="shared" si="13"/>
        <v/>
      </c>
      <c r="AQ33" s="59">
        <f t="shared" si="14"/>
        <v>0</v>
      </c>
      <c r="AR33" s="59" t="str">
        <f t="shared" si="15"/>
        <v/>
      </c>
      <c r="AS33" s="61" t="str">
        <f>IFERROR(
   'Identitas Siswa'!E32 &amp; " " &amp; LOWER($AT$3) &amp; " " &amp; VLOOKUP(AP33, TP!$K$5:$L$24, 2, 0) &amp; ".",
"")</f>
        <v/>
      </c>
      <c r="AT33" s="61" t="str">
        <f>IFERROR(
   'Identitas Siswa'!E32 &amp; " " &amp; LOWER($AT$4) &amp; " " &amp; VLOOKUP(AR33, TP!$K$5:$L$24,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12"/>
        <v>0</v>
      </c>
      <c r="AP34" s="59" t="str">
        <f t="shared" si="13"/>
        <v/>
      </c>
      <c r="AQ34" s="59">
        <f t="shared" si="14"/>
        <v>0</v>
      </c>
      <c r="AR34" s="59" t="str">
        <f t="shared" si="15"/>
        <v/>
      </c>
      <c r="AS34" s="61" t="str">
        <f>IFERROR(
   'Identitas Siswa'!E33 &amp; " " &amp; LOWER($AT$3) &amp; " " &amp; VLOOKUP(AP34, TP!$K$5:$L$24, 2, 0) &amp; ".",
"")</f>
        <v/>
      </c>
      <c r="AT34" s="61" t="str">
        <f>IFERROR(
   'Identitas Siswa'!E33 &amp; " " &amp; LOWER($AT$4) &amp; " " &amp; VLOOKUP(AR34, TP!$K$5:$L$24,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12"/>
        <v>0</v>
      </c>
      <c r="AP35" s="59" t="str">
        <f t="shared" si="13"/>
        <v/>
      </c>
      <c r="AQ35" s="59">
        <f t="shared" si="14"/>
        <v>0</v>
      </c>
      <c r="AR35" s="59" t="str">
        <f t="shared" si="15"/>
        <v/>
      </c>
      <c r="AS35" s="61" t="str">
        <f>IFERROR(
   'Identitas Siswa'!E34 &amp; " " &amp; LOWER($AT$3) &amp; " " &amp; VLOOKUP(AP35, TP!$K$5:$L$24, 2, 0) &amp; ".",
"")</f>
        <v/>
      </c>
      <c r="AT35" s="61" t="str">
        <f>IFERROR(
   'Identitas Siswa'!E34 &amp; " " &amp; LOWER($AT$4) &amp; " " &amp; VLOOKUP(AR35, TP!$K$5:$L$24,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12"/>
        <v>0</v>
      </c>
      <c r="AP36" s="59" t="str">
        <f t="shared" si="13"/>
        <v/>
      </c>
      <c r="AQ36" s="59">
        <f t="shared" si="14"/>
        <v>0</v>
      </c>
      <c r="AR36" s="59" t="str">
        <f t="shared" si="15"/>
        <v/>
      </c>
      <c r="AS36" s="61" t="str">
        <f>IFERROR(
   'Identitas Siswa'!E35 &amp; " " &amp; LOWER($AT$3) &amp; " " &amp; VLOOKUP(AP36, TP!$K$5:$L$24, 2, 0) &amp; ".",
"")</f>
        <v/>
      </c>
      <c r="AT36" s="61" t="str">
        <f>IFERROR(
   'Identitas Siswa'!E35 &amp; " " &amp; LOWER($AT$4) &amp; " " &amp; VLOOKUP(AR36, TP!$K$5:$L$24,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12"/>
        <v>0</v>
      </c>
      <c r="AP37" s="59" t="str">
        <f t="shared" si="13"/>
        <v/>
      </c>
      <c r="AQ37" s="59">
        <f t="shared" si="14"/>
        <v>0</v>
      </c>
      <c r="AR37" s="59" t="str">
        <f t="shared" si="15"/>
        <v/>
      </c>
      <c r="AS37" s="61" t="str">
        <f>IFERROR(
   'Identitas Siswa'!E36 &amp; " " &amp; LOWER($AT$3) &amp; " " &amp; VLOOKUP(AP37, TP!$K$5:$L$24, 2, 0) &amp; ".",
"")</f>
        <v/>
      </c>
      <c r="AT37" s="61" t="str">
        <f>IFERROR(
   'Identitas Siswa'!E36 &amp; " " &amp; LOWER($AT$4) &amp; " " &amp; VLOOKUP(AR37, TP!$K$5:$L$24,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12"/>
        <v>0</v>
      </c>
      <c r="AP38" s="59" t="str">
        <f t="shared" si="13"/>
        <v/>
      </c>
      <c r="AQ38" s="59">
        <f t="shared" si="14"/>
        <v>0</v>
      </c>
      <c r="AR38" s="59" t="str">
        <f t="shared" si="15"/>
        <v/>
      </c>
      <c r="AS38" s="61" t="str">
        <f>IFERROR(
   'Identitas Siswa'!E37 &amp; " " &amp; LOWER($AT$3) &amp; " " &amp; VLOOKUP(AP38, TP!$K$5:$L$24, 2, 0) &amp; ".",
"")</f>
        <v/>
      </c>
      <c r="AT38" s="61" t="str">
        <f>IFERROR(
   'Identitas Siswa'!E37 &amp; " " &amp; LOWER($AT$4) &amp; " " &amp; VLOOKUP(AR38, TP!$K$5:$L$24,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12"/>
        <v>0</v>
      </c>
      <c r="AP39" s="59" t="str">
        <f t="shared" si="13"/>
        <v/>
      </c>
      <c r="AQ39" s="59">
        <f t="shared" si="14"/>
        <v>0</v>
      </c>
      <c r="AR39" s="59" t="str">
        <f t="shared" si="15"/>
        <v/>
      </c>
      <c r="AS39" s="61" t="str">
        <f>IFERROR(
   'Identitas Siswa'!E38 &amp; " " &amp; LOWER($AT$3) &amp; " " &amp; VLOOKUP(AP39, TP!$K$5:$L$24, 2, 0) &amp; ".",
"")</f>
        <v/>
      </c>
      <c r="AT39" s="61" t="str">
        <f>IFERROR(
   'Identitas Siswa'!E38 &amp; " " &amp; LOWER($AT$4) &amp; " " &amp; VLOOKUP(AR39, TP!$K$5:$L$24,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12"/>
        <v>0</v>
      </c>
      <c r="AP40" s="59" t="str">
        <f t="shared" si="13"/>
        <v/>
      </c>
      <c r="AQ40" s="59">
        <f t="shared" si="14"/>
        <v>0</v>
      </c>
      <c r="AR40" s="59" t="str">
        <f t="shared" si="15"/>
        <v/>
      </c>
      <c r="AS40" s="61" t="str">
        <f>IFERROR(
   'Identitas Siswa'!E39 &amp; " " &amp; LOWER($AT$3) &amp; " " &amp; VLOOKUP(AP40, TP!$K$5:$L$24, 2, 0) &amp; ".",
"")</f>
        <v/>
      </c>
      <c r="AT40" s="61" t="str">
        <f>IFERROR(
   'Identitas Siswa'!E39 &amp; " " &amp; LOWER($AT$4) &amp; " " &amp; VLOOKUP(AR40, TP!$K$5:$L$24,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12"/>
        <v>0</v>
      </c>
      <c r="AP41" s="59" t="str">
        <f t="shared" si="13"/>
        <v/>
      </c>
      <c r="AQ41" s="59">
        <f t="shared" si="14"/>
        <v>0</v>
      </c>
      <c r="AR41" s="59" t="str">
        <f t="shared" si="15"/>
        <v/>
      </c>
      <c r="AS41" s="61" t="str">
        <f>IFERROR(
   'Identitas Siswa'!E40 &amp; " " &amp; LOWER($AT$3) &amp; " " &amp; VLOOKUP(AP41, TP!$K$5:$L$24, 2, 0) &amp; ".",
"")</f>
        <v/>
      </c>
      <c r="AT41" s="61" t="str">
        <f>IFERROR(
   'Identitas Siswa'!E40 &amp; " " &amp; LOWER($AT$4) &amp; " " &amp; VLOOKUP(AR41, TP!$K$5:$L$24,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12"/>
        <v>0</v>
      </c>
      <c r="AP42" s="59" t="str">
        <f t="shared" si="13"/>
        <v/>
      </c>
      <c r="AQ42" s="59">
        <f t="shared" si="14"/>
        <v>0</v>
      </c>
      <c r="AR42" s="59" t="str">
        <f t="shared" si="15"/>
        <v/>
      </c>
      <c r="AS42" s="61" t="str">
        <f>IFERROR(
   'Identitas Siswa'!E41 &amp; " " &amp; LOWER($AT$3) &amp; " " &amp; VLOOKUP(AP42, TP!$K$5:$L$24, 2, 0) &amp; ".",
"")</f>
        <v/>
      </c>
      <c r="AT42" s="61" t="str">
        <f>IFERROR(
   'Identitas Siswa'!E41 &amp; " " &amp; LOWER($AT$4) &amp; " " &amp; VLOOKUP(AR42, TP!$K$5:$L$24,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12"/>
        <v>0</v>
      </c>
      <c r="AP43" s="59" t="str">
        <f t="shared" si="13"/>
        <v/>
      </c>
      <c r="AQ43" s="59">
        <f t="shared" si="14"/>
        <v>0</v>
      </c>
      <c r="AR43" s="59" t="str">
        <f t="shared" si="15"/>
        <v/>
      </c>
      <c r="AS43" s="61" t="str">
        <f>IFERROR(
   'Identitas Siswa'!E42 &amp; " " &amp; LOWER($AT$3) &amp; " " &amp; VLOOKUP(AP43, TP!$K$5:$L$24, 2, 0) &amp; ".",
"")</f>
        <v/>
      </c>
      <c r="AT43" s="61" t="str">
        <f>IFERROR(
   'Identitas Siswa'!E42 &amp; " " &amp; LOWER($AT$4) &amp; " " &amp; VLOOKUP(AR43, TP!$K$5:$L$24,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12"/>
        <v>0</v>
      </c>
      <c r="AP44" s="59" t="str">
        <f t="shared" si="13"/>
        <v/>
      </c>
      <c r="AQ44" s="59">
        <f t="shared" si="14"/>
        <v>0</v>
      </c>
      <c r="AR44" s="59" t="str">
        <f t="shared" si="15"/>
        <v/>
      </c>
      <c r="AS44" s="61" t="str">
        <f>IFERROR(
   'Identitas Siswa'!E43 &amp; " " &amp; LOWER($AT$3) &amp; " " &amp; VLOOKUP(AP44, TP!$K$5:$L$24, 2, 0) &amp; ".",
"")</f>
        <v/>
      </c>
      <c r="AT44" s="61" t="str">
        <f>IFERROR(
   'Identitas Siswa'!E43 &amp; " " &amp; LOWER($AT$4) &amp; " " &amp; VLOOKUP(AR44, TP!$K$5:$L$24,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12"/>
        <v>0</v>
      </c>
      <c r="AP45" s="59" t="str">
        <f t="shared" si="13"/>
        <v/>
      </c>
      <c r="AQ45" s="59">
        <f t="shared" si="14"/>
        <v>0</v>
      </c>
      <c r="AR45" s="59" t="str">
        <f t="shared" si="15"/>
        <v/>
      </c>
      <c r="AS45" s="61" t="str">
        <f>IFERROR(
   'Identitas Siswa'!E44 &amp; " " &amp; LOWER($AT$3) &amp; " " &amp; VLOOKUP(AP45, TP!$K$5:$L$24, 2, 0) &amp; ".",
"")</f>
        <v/>
      </c>
      <c r="AT45" s="61" t="str">
        <f>IFERROR(
   'Identitas Siswa'!E44 &amp; " " &amp; LOWER($AT$4) &amp; " " &amp; VLOOKUP(AR45, TP!$K$5:$L$24,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12"/>
        <v>0</v>
      </c>
      <c r="AP46" s="59" t="str">
        <f t="shared" si="13"/>
        <v/>
      </c>
      <c r="AQ46" s="59">
        <f t="shared" si="14"/>
        <v>0</v>
      </c>
      <c r="AR46" s="59" t="str">
        <f t="shared" si="15"/>
        <v/>
      </c>
      <c r="AS46" s="61" t="str">
        <f>IFERROR(
   'Identitas Siswa'!E45 &amp; " " &amp; LOWER($AT$3) &amp; " " &amp; VLOOKUP(AP46, TP!$K$5:$L$24, 2, 0) &amp; ".",
"")</f>
        <v/>
      </c>
      <c r="AT46" s="61" t="str">
        <f>IFERROR(
   'Identitas Siswa'!E45 &amp; " " &amp; LOWER($AT$4) &amp; " " &amp; VLOOKUP(AR46, TP!$K$5:$L$24,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12"/>
        <v>0</v>
      </c>
      <c r="AP47" s="59" t="str">
        <f t="shared" si="13"/>
        <v/>
      </c>
      <c r="AQ47" s="59">
        <f t="shared" si="14"/>
        <v>0</v>
      </c>
      <c r="AR47" s="59" t="str">
        <f t="shared" si="15"/>
        <v/>
      </c>
      <c r="AS47" s="61" t="str">
        <f>IFERROR(
   'Identitas Siswa'!E46 &amp; " " &amp; LOWER($AT$3) &amp; " " &amp; VLOOKUP(AP47, TP!$K$5:$L$24, 2, 0) &amp; ".",
"")</f>
        <v/>
      </c>
      <c r="AT47" s="61" t="str">
        <f>IFERROR(
   'Identitas Siswa'!E46 &amp; " " &amp; LOWER($AT$4) &amp; " " &amp; VLOOKUP(AR47, TP!$K$5:$L$24,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12"/>
        <v>0</v>
      </c>
      <c r="AP48" s="59" t="str">
        <f t="shared" si="13"/>
        <v/>
      </c>
      <c r="AQ48" s="59">
        <f t="shared" si="14"/>
        <v>0</v>
      </c>
      <c r="AR48" s="59" t="str">
        <f t="shared" si="15"/>
        <v/>
      </c>
      <c r="AS48" s="61" t="str">
        <f>IFERROR(
   'Identitas Siswa'!E47 &amp; " " &amp; LOWER($AT$3) &amp; " " &amp; VLOOKUP(AP48, TP!$K$5:$L$24, 2, 0) &amp; ".",
"")</f>
        <v/>
      </c>
      <c r="AT48" s="61" t="str">
        <f>IFERROR(
   'Identitas Siswa'!E47 &amp; " " &amp; LOWER($AT$4) &amp; " " &amp; VLOOKUP(AR48, TP!$K$5:$L$24,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12"/>
        <v>0</v>
      </c>
      <c r="AP49" s="59" t="str">
        <f t="shared" si="13"/>
        <v/>
      </c>
      <c r="AQ49" s="59">
        <f t="shared" si="14"/>
        <v>0</v>
      </c>
      <c r="AR49" s="59" t="str">
        <f t="shared" si="15"/>
        <v/>
      </c>
      <c r="AS49" s="61" t="str">
        <f>IFERROR(
   'Identitas Siswa'!E48 &amp; " " &amp; LOWER($AT$3) &amp; " " &amp; VLOOKUP(AP49, TP!$K$5:$L$24, 2, 0) &amp; ".",
"")</f>
        <v/>
      </c>
      <c r="AT49" s="61" t="str">
        <f>IFERROR(
   'Identitas Siswa'!E48 &amp; " " &amp; LOWER($AT$4) &amp; " " &amp; VLOOKUP(AR49, TP!$K$5:$L$24,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12"/>
        <v>0</v>
      </c>
      <c r="AP50" s="59" t="str">
        <f t="shared" si="13"/>
        <v/>
      </c>
      <c r="AQ50" s="59">
        <f t="shared" si="14"/>
        <v>0</v>
      </c>
      <c r="AR50" s="59" t="str">
        <f t="shared" si="15"/>
        <v/>
      </c>
      <c r="AS50" s="61" t="str">
        <f>IFERROR(
   'Identitas Siswa'!E49 &amp; " " &amp; LOWER($AT$3) &amp; " " &amp; VLOOKUP(AP50, TP!$K$5:$L$24, 2, 0) &amp; ".",
"")</f>
        <v/>
      </c>
      <c r="AT50" s="61" t="str">
        <f>IFERROR(
   'Identitas Siswa'!E49 &amp; " " &amp; LOWER($AT$4) &amp; " " &amp; VLOOKUP(AR50, TP!$K$5:$L$24,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12"/>
        <v>0</v>
      </c>
      <c r="AP51" s="59" t="str">
        <f t="shared" si="13"/>
        <v/>
      </c>
      <c r="AQ51" s="59">
        <f t="shared" si="14"/>
        <v>0</v>
      </c>
      <c r="AR51" s="59" t="str">
        <f t="shared" si="15"/>
        <v/>
      </c>
      <c r="AS51" s="61" t="str">
        <f>IFERROR(
   'Identitas Siswa'!E50 &amp; " " &amp; LOWER($AT$3) &amp; " " &amp; VLOOKUP(AP51, TP!$K$5:$L$24, 2, 0) &amp; ".",
"")</f>
        <v/>
      </c>
      <c r="AT51" s="61" t="str">
        <f>IFERROR(
   'Identitas Siswa'!E50 &amp; " " &amp; LOWER($AT$4) &amp; " " &amp; VLOOKUP(AR51, TP!$K$5:$L$24,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12"/>
        <v>0</v>
      </c>
      <c r="AP52" s="59" t="str">
        <f t="shared" si="13"/>
        <v/>
      </c>
      <c r="AQ52" s="59">
        <f t="shared" si="14"/>
        <v>0</v>
      </c>
      <c r="AR52" s="59" t="str">
        <f t="shared" si="15"/>
        <v/>
      </c>
      <c r="AS52" s="61" t="str">
        <f>IFERROR(
   'Identitas Siswa'!E51 &amp; " " &amp; LOWER($AT$3) &amp; " " &amp; VLOOKUP(AP52, TP!$K$5:$L$24, 2, 0) &amp; ".",
"")</f>
        <v/>
      </c>
      <c r="AT52" s="61" t="str">
        <f>IFERROR(
   'Identitas Siswa'!E51 &amp; " " &amp; LOWER($AT$4) &amp; " " &amp; VLOOKUP(AR52, TP!$K$5:$L$24,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12"/>
        <v>0</v>
      </c>
      <c r="AP53" s="59" t="str">
        <f t="shared" si="13"/>
        <v/>
      </c>
      <c r="AQ53" s="59">
        <f t="shared" si="14"/>
        <v>0</v>
      </c>
      <c r="AR53" s="59" t="str">
        <f t="shared" si="15"/>
        <v/>
      </c>
      <c r="AS53" s="61" t="str">
        <f>IFERROR(
   'Identitas Siswa'!E52 &amp; " " &amp; LOWER($AT$3) &amp; " " &amp; VLOOKUP(AP53, TP!$K$5:$L$24, 2, 0) &amp; ".",
"")</f>
        <v/>
      </c>
      <c r="AT53" s="61" t="str">
        <f>IFERROR(
   'Identitas Siswa'!E52 &amp; " " &amp; LOWER($AT$4) &amp; " " &amp; VLOOKUP(AR53, TP!$K$5:$L$24,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12"/>
        <v>0</v>
      </c>
      <c r="AP54" s="59" t="str">
        <f t="shared" si="13"/>
        <v/>
      </c>
      <c r="AQ54" s="59">
        <f t="shared" si="14"/>
        <v>0</v>
      </c>
      <c r="AR54" s="59" t="str">
        <f t="shared" si="15"/>
        <v/>
      </c>
      <c r="AS54" s="61" t="str">
        <f>IFERROR(
   'Identitas Siswa'!E53 &amp; " " &amp; LOWER($AT$3) &amp; " " &amp; VLOOKUP(AP54, TP!$K$5:$L$24, 2, 0) &amp; ".",
"")</f>
        <v/>
      </c>
      <c r="AT54" s="61" t="str">
        <f>IFERROR(
   'Identitas Siswa'!E53 &amp; " " &amp; LOWER($AT$4) &amp; " " &amp; VLOOKUP(AR54, TP!$K$5:$L$24,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12"/>
        <v>0</v>
      </c>
      <c r="AP55" s="59" t="str">
        <f t="shared" si="13"/>
        <v/>
      </c>
      <c r="AQ55" s="59">
        <f t="shared" si="14"/>
        <v>0</v>
      </c>
      <c r="AR55" s="59" t="str">
        <f t="shared" si="15"/>
        <v/>
      </c>
      <c r="AS55" s="61" t="str">
        <f>IFERROR(
   'Identitas Siswa'!E54 &amp; " " &amp; LOWER($AT$3) &amp; " " &amp; VLOOKUP(AP55, TP!$K$5:$L$24, 2, 0) &amp; ".",
"")</f>
        <v/>
      </c>
      <c r="AT55" s="61" t="str">
        <f>IFERROR(
   'Identitas Siswa'!E54 &amp; " " &amp; LOWER($AT$4) &amp; " " &amp; VLOOKUP(AR55, TP!$K$5:$L$24,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12"/>
        <v>0</v>
      </c>
      <c r="AP56" s="59" t="str">
        <f t="shared" si="13"/>
        <v/>
      </c>
      <c r="AQ56" s="59">
        <f t="shared" si="14"/>
        <v>0</v>
      </c>
      <c r="AR56" s="59" t="str">
        <f t="shared" si="15"/>
        <v/>
      </c>
      <c r="AS56" s="61" t="str">
        <f>IFERROR(
   'Identitas Siswa'!E55 &amp; " " &amp; LOWER($AT$3) &amp; " " &amp; VLOOKUP(AP56, TP!$K$5:$L$24, 2, 0) &amp; ".",
"")</f>
        <v/>
      </c>
      <c r="AT56" s="61" t="str">
        <f>IFERROR(
   'Identitas Siswa'!E55 &amp; " " &amp; LOWER($AT$4) &amp; " " &amp; VLOOKUP(AR56, TP!$K$5:$L$24,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12"/>
        <v>0</v>
      </c>
      <c r="AP57" s="59" t="str">
        <f t="shared" si="13"/>
        <v/>
      </c>
      <c r="AQ57" s="59">
        <f t="shared" si="14"/>
        <v>0</v>
      </c>
      <c r="AR57" s="59" t="str">
        <f t="shared" si="15"/>
        <v/>
      </c>
      <c r="AS57" s="61" t="str">
        <f>IFERROR(
   'Identitas Siswa'!E56 &amp; " " &amp; LOWER($AT$3) &amp; " " &amp; VLOOKUP(AP57, TP!$K$5:$L$24, 2, 0) &amp; ".",
"")</f>
        <v/>
      </c>
      <c r="AT57" s="61" t="str">
        <f>IFERROR(
   'Identitas Siswa'!E56 &amp; " " &amp; LOWER($AT$4) &amp; " " &amp; VLOOKUP(AR57, TP!$K$5:$L$24,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12"/>
        <v>0</v>
      </c>
      <c r="AP58" s="59" t="str">
        <f t="shared" si="13"/>
        <v/>
      </c>
      <c r="AQ58" s="59">
        <f t="shared" si="14"/>
        <v>0</v>
      </c>
      <c r="AR58" s="59" t="str">
        <f t="shared" si="15"/>
        <v/>
      </c>
      <c r="AS58" s="61" t="str">
        <f>IFERROR(
   'Identitas Siswa'!E57 &amp; " " &amp; LOWER($AT$3) &amp; " " &amp; VLOOKUP(AP58, TP!$K$5:$L$24, 2, 0) &amp; ".",
"")</f>
        <v/>
      </c>
      <c r="AT58" s="61" t="str">
        <f>IFERROR(
   'Identitas Siswa'!E57 &amp; " " &amp; LOWER($AT$4) &amp; " " &amp; VLOOKUP(AR58, TP!$K$5:$L$24,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12"/>
        <v>0</v>
      </c>
      <c r="AP59" s="59" t="str">
        <f t="shared" si="13"/>
        <v/>
      </c>
      <c r="AQ59" s="59">
        <f t="shared" si="14"/>
        <v>0</v>
      </c>
      <c r="AR59" s="59" t="str">
        <f t="shared" si="15"/>
        <v/>
      </c>
      <c r="AS59" s="61" t="str">
        <f>IFERROR(
   'Identitas Siswa'!E58 &amp; " " &amp; LOWER($AT$3) &amp; " " &amp; VLOOKUP(AP59, TP!$K$5:$L$24, 2, 0) &amp; ".",
"")</f>
        <v/>
      </c>
      <c r="AT59" s="61" t="str">
        <f>IFERROR(
   'Identitas Siswa'!E58 &amp; " " &amp; LOWER($AT$4) &amp; " " &amp; VLOOKUP(AR59, TP!$K$5:$L$24,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12"/>
        <v>0</v>
      </c>
      <c r="AP60" s="59" t="str">
        <f t="shared" si="13"/>
        <v/>
      </c>
      <c r="AQ60" s="59">
        <f t="shared" si="14"/>
        <v>0</v>
      </c>
      <c r="AR60" s="59" t="str">
        <f t="shared" si="15"/>
        <v/>
      </c>
      <c r="AS60" s="61" t="str">
        <f>IFERROR(
   'Identitas Siswa'!E59 &amp; " " &amp; LOWER($AT$3) &amp; " " &amp; VLOOKUP(AP60, TP!$K$5:$L$24, 2, 0) &amp; ".",
"")</f>
        <v/>
      </c>
      <c r="AT60" s="61" t="str">
        <f>IFERROR(
   'Identitas Siswa'!E59 &amp; " " &amp; LOWER($AT$4) &amp; " " &amp; VLOOKUP(AR60, TP!$K$5:$L$24,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12"/>
        <v>0</v>
      </c>
      <c r="AP61" s="59" t="str">
        <f t="shared" si="13"/>
        <v/>
      </c>
      <c r="AQ61" s="59">
        <f t="shared" si="14"/>
        <v>0</v>
      </c>
      <c r="AR61" s="59" t="str">
        <f t="shared" si="15"/>
        <v/>
      </c>
      <c r="AS61" s="61" t="str">
        <f>IFERROR(
   'Identitas Siswa'!E60 &amp; " " &amp; LOWER($AT$3) &amp; " " &amp; VLOOKUP(AP61, TP!$K$5:$L$24, 2, 0) &amp; ".",
"")</f>
        <v/>
      </c>
      <c r="AT61" s="61" t="str">
        <f>IFERROR(
   'Identitas Siswa'!E60 &amp; " " &amp; LOWER($AT$4) &amp; " " &amp; VLOOKUP(AR61, TP!$K$5:$L$24,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12"/>
        <v>0</v>
      </c>
      <c r="AP62" s="59" t="str">
        <f t="shared" si="13"/>
        <v/>
      </c>
      <c r="AQ62" s="59">
        <f t="shared" si="14"/>
        <v>0</v>
      </c>
      <c r="AR62" s="59" t="str">
        <f t="shared" si="15"/>
        <v/>
      </c>
      <c r="AS62" s="61" t="str">
        <f>IFERROR(
   'Identitas Siswa'!E61 &amp; " " &amp; LOWER($AT$3) &amp; " " &amp; VLOOKUP(AP62, TP!$K$5:$L$24, 2, 0) &amp; ".",
"")</f>
        <v/>
      </c>
      <c r="AT62" s="61" t="str">
        <f>IFERROR(
   'Identitas Siswa'!E61 &amp; " " &amp; LOWER($AT$4) &amp; " " &amp; VLOOKUP(AR62, TP!$K$5:$L$24,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12"/>
        <v>0</v>
      </c>
      <c r="AP63" s="59" t="str">
        <f t="shared" si="13"/>
        <v/>
      </c>
      <c r="AQ63" s="59">
        <f t="shared" si="14"/>
        <v>0</v>
      </c>
      <c r="AR63" s="59" t="str">
        <f t="shared" si="15"/>
        <v/>
      </c>
      <c r="AS63" s="61" t="str">
        <f>IFERROR(
   'Identitas Siswa'!E62 &amp; " " &amp; LOWER($AT$3) &amp; " " &amp; VLOOKUP(AP63, TP!$K$5:$L$24, 2, 0) &amp; ".",
"")</f>
        <v/>
      </c>
      <c r="AT63" s="61" t="str">
        <f>IFERROR(
   'Identitas Siswa'!E62 &amp; " " &amp; LOWER($AT$4) &amp; " " &amp; VLOOKUP(AR63, TP!$K$5:$L$24,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12"/>
        <v>0</v>
      </c>
      <c r="AP64" s="59" t="str">
        <f t="shared" si="13"/>
        <v/>
      </c>
      <c r="AQ64" s="59">
        <f t="shared" si="14"/>
        <v>0</v>
      </c>
      <c r="AR64" s="59" t="str">
        <f t="shared" si="15"/>
        <v/>
      </c>
      <c r="AS64" s="61" t="str">
        <f>IFERROR(
   'Identitas Siswa'!E63 &amp; " " &amp; LOWER($AT$3) &amp; " " &amp; VLOOKUP(AP64, TP!$K$5:$L$24, 2, 0) &amp; ".",
"")</f>
        <v/>
      </c>
      <c r="AT64" s="61" t="str">
        <f>IFERROR(
   'Identitas Siswa'!E63 &amp; " " &amp; LOWER($AT$4) &amp; " " &amp; VLOOKUP(AR64, TP!$K$5:$L$24,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12"/>
        <v>0</v>
      </c>
      <c r="AP65" s="59" t="str">
        <f t="shared" si="13"/>
        <v/>
      </c>
      <c r="AQ65" s="59">
        <f t="shared" si="14"/>
        <v>0</v>
      </c>
      <c r="AR65" s="59" t="str">
        <f t="shared" si="15"/>
        <v/>
      </c>
      <c r="AS65" s="61" t="str">
        <f>IFERROR(
   'Identitas Siswa'!E64 &amp; " " &amp; LOWER($AT$3) &amp; " " &amp; VLOOKUP(AP65, TP!$K$5:$L$24, 2, 0) &amp; ".",
"")</f>
        <v/>
      </c>
      <c r="AT65" s="61" t="str">
        <f>IFERROR(
   'Identitas Siswa'!E64 &amp; " " &amp; LOWER($AT$4) &amp; " " &amp; VLOOKUP(AR65, TP!$K$5:$L$24,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12"/>
        <v>0</v>
      </c>
      <c r="AP66" s="59" t="str">
        <f t="shared" si="13"/>
        <v/>
      </c>
      <c r="AQ66" s="59">
        <f t="shared" si="14"/>
        <v>0</v>
      </c>
      <c r="AR66" s="59" t="str">
        <f t="shared" si="15"/>
        <v/>
      </c>
      <c r="AS66" s="61" t="str">
        <f>IFERROR(
   'Identitas Siswa'!E65 &amp; " " &amp; LOWER($AT$3) &amp; " " &amp; VLOOKUP(AP66, TP!$K$5:$L$24, 2, 0) &amp; ".",
"")</f>
        <v/>
      </c>
      <c r="AT66" s="61" t="str">
        <f>IFERROR(
   'Identitas Siswa'!E65 &amp; " " &amp; LOWER($AT$4) &amp; " " &amp; VLOOKUP(AR66, TP!$K$5:$L$24,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12"/>
        <v>0</v>
      </c>
      <c r="AP67" s="59" t="str">
        <f t="shared" si="13"/>
        <v/>
      </c>
      <c r="AQ67" s="59">
        <f t="shared" si="14"/>
        <v>0</v>
      </c>
      <c r="AR67" s="59" t="str">
        <f t="shared" si="15"/>
        <v/>
      </c>
      <c r="AS67" s="61" t="str">
        <f>IFERROR(
   'Identitas Siswa'!E66 &amp; " " &amp; LOWER($AT$3) &amp; " " &amp; VLOOKUP(AP67, TP!$K$5:$L$24, 2, 0) &amp; ".",
"")</f>
        <v/>
      </c>
      <c r="AT67" s="61" t="str">
        <f>IFERROR(
   'Identitas Siswa'!E66 &amp; " " &amp; LOWER($AT$4) &amp; " " &amp; VLOOKUP(AR67, TP!$K$5:$L$24,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12"/>
        <v>0</v>
      </c>
      <c r="AP68" s="59" t="str">
        <f t="shared" si="13"/>
        <v/>
      </c>
      <c r="AQ68" s="59">
        <f t="shared" si="14"/>
        <v>0</v>
      </c>
      <c r="AR68" s="59" t="str">
        <f t="shared" si="15"/>
        <v/>
      </c>
      <c r="AS68" s="61" t="str">
        <f>IFERROR(
   'Identitas Siswa'!E67 &amp; " " &amp; LOWER($AT$3) &amp; " " &amp; VLOOKUP(AP68, TP!$K$5:$L$24, 2, 0) &amp; ".",
"")</f>
        <v/>
      </c>
      <c r="AT68" s="61" t="str">
        <f>IFERROR(
   'Identitas Siswa'!E67 &amp; " " &amp; LOWER($AT$4) &amp; " " &amp; VLOOKUP(AR68, TP!$K$5:$L$24,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T1:AT2"/>
    <mergeCell ref="AK7:AK8"/>
    <mergeCell ref="AL7:AL8"/>
    <mergeCell ref="AM7:AM8"/>
    <mergeCell ref="AN7:AN8"/>
    <mergeCell ref="AS7:AT7"/>
    <mergeCell ref="B7:B8"/>
    <mergeCell ref="A7:A8"/>
    <mergeCell ref="AO7:AP7"/>
    <mergeCell ref="AQ7:AR7"/>
    <mergeCell ref="C7:V7"/>
    <mergeCell ref="W7:AH7"/>
    <mergeCell ref="AI7:AJ7"/>
  </mergeCells>
  <conditionalFormatting sqref="C9:C68">
    <cfRule type="expression" dxfId="479" priority="32">
      <formula>$C$8=""</formula>
    </cfRule>
  </conditionalFormatting>
  <conditionalFormatting sqref="D9:D68">
    <cfRule type="expression" dxfId="478" priority="31">
      <formula>$D$8=""</formula>
    </cfRule>
  </conditionalFormatting>
  <conditionalFormatting sqref="E9:E68">
    <cfRule type="expression" dxfId="477" priority="30">
      <formula>$E$8=""</formula>
    </cfRule>
  </conditionalFormatting>
  <conditionalFormatting sqref="F9:F68">
    <cfRule type="expression" dxfId="476" priority="29">
      <formula>$F$8=""</formula>
    </cfRule>
  </conditionalFormatting>
  <conditionalFormatting sqref="G9:G68">
    <cfRule type="expression" dxfId="475" priority="28">
      <formula>$G$8=""</formula>
    </cfRule>
  </conditionalFormatting>
  <conditionalFormatting sqref="H9:H68">
    <cfRule type="expression" dxfId="474" priority="27">
      <formula>$H$8=""</formula>
    </cfRule>
  </conditionalFormatting>
  <conditionalFormatting sqref="I9:I68">
    <cfRule type="expression" dxfId="473" priority="26">
      <formula>$I$8=""</formula>
    </cfRule>
  </conditionalFormatting>
  <conditionalFormatting sqref="J9:J68">
    <cfRule type="expression" dxfId="472" priority="25">
      <formula>$J$8=""</formula>
    </cfRule>
  </conditionalFormatting>
  <conditionalFormatting sqref="K9:K68">
    <cfRule type="expression" dxfId="471" priority="24">
      <formula>$K$8=""</formula>
    </cfRule>
  </conditionalFormatting>
  <conditionalFormatting sqref="L9:L68">
    <cfRule type="expression" dxfId="470" priority="23">
      <formula>$L$8=""</formula>
    </cfRule>
  </conditionalFormatting>
  <conditionalFormatting sqref="M9:M68">
    <cfRule type="expression" dxfId="469" priority="22">
      <formula>$M$8=""</formula>
    </cfRule>
  </conditionalFormatting>
  <conditionalFormatting sqref="N9:N68">
    <cfRule type="expression" dxfId="468" priority="21">
      <formula>$N$8=""</formula>
    </cfRule>
  </conditionalFormatting>
  <conditionalFormatting sqref="O9:O68">
    <cfRule type="expression" dxfId="467" priority="20">
      <formula>$O$8=""</formula>
    </cfRule>
  </conditionalFormatting>
  <conditionalFormatting sqref="P9:P68">
    <cfRule type="expression" dxfId="466" priority="19">
      <formula>$P$8=""</formula>
    </cfRule>
  </conditionalFormatting>
  <conditionalFormatting sqref="Q9:Q68">
    <cfRule type="expression" dxfId="465" priority="18">
      <formula>$Q$8=""</formula>
    </cfRule>
  </conditionalFormatting>
  <conditionalFormatting sqref="R9:R68">
    <cfRule type="expression" dxfId="464" priority="17">
      <formula>$R$8=""</formula>
    </cfRule>
  </conditionalFormatting>
  <conditionalFormatting sqref="S9:S68">
    <cfRule type="expression" dxfId="463" priority="16">
      <formula>$S$8=""</formula>
    </cfRule>
  </conditionalFormatting>
  <conditionalFormatting sqref="T9:T68">
    <cfRule type="expression" dxfId="462" priority="15">
      <formula>$T$8=""</formula>
    </cfRule>
  </conditionalFormatting>
  <conditionalFormatting sqref="U9:U68">
    <cfRule type="expression" dxfId="461" priority="14">
      <formula>$U$8=""</formula>
    </cfRule>
  </conditionalFormatting>
  <conditionalFormatting sqref="V9:V68">
    <cfRule type="expression" dxfId="460" priority="13">
      <formula>$V$8=""</formula>
    </cfRule>
  </conditionalFormatting>
  <conditionalFormatting sqref="W9:W68">
    <cfRule type="expression" dxfId="459" priority="12">
      <formula>$W$8=""</formula>
    </cfRule>
  </conditionalFormatting>
  <conditionalFormatting sqref="X9:X68">
    <cfRule type="expression" dxfId="458" priority="11">
      <formula>$X$8=""</formula>
    </cfRule>
  </conditionalFormatting>
  <conditionalFormatting sqref="Y9:Y68">
    <cfRule type="expression" dxfId="457" priority="10">
      <formula>$Y$8=""</formula>
    </cfRule>
  </conditionalFormatting>
  <conditionalFormatting sqref="Z9:Z68">
    <cfRule type="expression" dxfId="456" priority="9">
      <formula>$Z$8=""</formula>
    </cfRule>
  </conditionalFormatting>
  <conditionalFormatting sqref="AA9:AA68">
    <cfRule type="expression" dxfId="455" priority="8">
      <formula>$AA$8=""</formula>
    </cfRule>
  </conditionalFormatting>
  <conditionalFormatting sqref="AB9:AB68">
    <cfRule type="expression" dxfId="454" priority="7">
      <formula>$AB$8=""</formula>
    </cfRule>
  </conditionalFormatting>
  <conditionalFormatting sqref="AC9:AC68">
    <cfRule type="expression" dxfId="453" priority="6">
      <formula>$AC$8=""</formula>
    </cfRule>
  </conditionalFormatting>
  <conditionalFormatting sqref="AD9:AD68">
    <cfRule type="expression" dxfId="452" priority="5">
      <formula>$AD$8=""</formula>
    </cfRule>
  </conditionalFormatting>
  <conditionalFormatting sqref="AE9:AE68">
    <cfRule type="expression" dxfId="451" priority="4">
      <formula>$AE$8=""</formula>
    </cfRule>
  </conditionalFormatting>
  <conditionalFormatting sqref="AF9:AF68">
    <cfRule type="expression" dxfId="450" priority="3">
      <formula>$AF$8=""</formula>
    </cfRule>
  </conditionalFormatting>
  <conditionalFormatting sqref="AG9:AG68">
    <cfRule type="expression" dxfId="449" priority="2">
      <formula>$AG$8=""</formula>
    </cfRule>
  </conditionalFormatting>
  <conditionalFormatting sqref="AH9:AH68">
    <cfRule type="expression" dxfId="44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9873-66FE-4A24-AE0A-63FA21C63BF9}">
  <sheetPr codeName="Sheet8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4" sqref="AT3:AT4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IF(TRANSPOSE(TP!O5:O24)="", "", TRANSPOSE(TP!O5:O24))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>TP 15</v>
      </c>
      <c r="R8" s="52" t="str">
        <v>TP 16</v>
      </c>
      <c r="S8" s="52" t="str">
        <v>TP 17</v>
      </c>
      <c r="T8" s="52" t="str">
        <v>TP 18</v>
      </c>
      <c r="U8" s="52" t="str">
        <v>TP 19</v>
      </c>
      <c r="V8" s="52" t="str">
        <v>TP 20</v>
      </c>
      <c r="W8" s="58" t="str" cm="1">
        <f t="array" ref="W8:AH8">IF(TRANSPOSE(TP!N5:N16)="", "", TRANSPOSE(TP!N5:N16))</f>
        <v>Aku yang Unik</v>
      </c>
      <c r="X8" s="58" t="str">
        <v>Buku Jendela Dunia</v>
      </c>
      <c r="Y8" s="82" t="str">
        <v>Ekspresi Diri Melalui Hobi</v>
      </c>
      <c r="Z8" s="82" t="str">
        <v>Belajar Berwirausaha</v>
      </c>
      <c r="AA8" s="82" t="str">
        <v/>
      </c>
      <c r="AB8" s="82" t="str">
        <v/>
      </c>
      <c r="AC8" s="82" t="str">
        <v/>
      </c>
      <c r="AD8" s="82" t="str">
        <v/>
      </c>
      <c r="AE8" s="82" t="str">
        <v/>
      </c>
      <c r="AF8" s="82" t="str">
        <v/>
      </c>
      <c r="AG8" s="82" t="str">
        <v/>
      </c>
      <c r="AH8" s="82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TP!$O$5:$P$24, 2, 0) &amp; ".",
"")</f>
        <v>Abhy menunjukkan penguasaan dalam memperkenalkan diri di depan kelas.</v>
      </c>
      <c r="AT9" s="61" t="str">
        <f>IFERROR(
   'Identitas Siswa'!E8 &amp; " " &amp; LOWER($AT$4) &amp; " " &amp; VLOOKUP(AR9, TP!$O$5:$P$24, 2, 0) &amp; ".",
"")</f>
        <v>Abhy perlu bimbingan dalam memperkenalkan diri di depan kelas.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/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TP!$O$5:$P$24, 2, 0) &amp; ".",
"")</f>
        <v>aku menunjukkan penguasaan dalam memperkenalkan diri di depan kelas.</v>
      </c>
      <c r="AT10" s="61" t="str">
        <f>IFERROR(
   'Identitas Siswa'!E9 &amp; " " &amp; LOWER($AT$4) &amp; " " &amp; VLOOKUP(AR10, TP!$O$5:$P$24, 2, 0) &amp; ".",
"")</f>
        <v>aku perlu bimbingan dalam memperkenalkan diri di depan kelas.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TP!$O$5:$P$24, 2, 0) &amp; ".",
"")</f>
        <v/>
      </c>
      <c r="AT11" s="61" t="str">
        <f>IFERROR(
   'Identitas Siswa'!E10 &amp; " " &amp; LOWER($AT$4) &amp; " " &amp; VLOOKUP(AR11, TP!$O$5:$P$24,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TP!$O$5:$P$24, 2, 0) &amp; ".",
"")</f>
        <v/>
      </c>
      <c r="AT12" s="61" t="str">
        <f>IFERROR(
   'Identitas Siswa'!E11 &amp; " " &amp; LOWER($AT$4) &amp; " " &amp; VLOOKUP(AR12, TP!$O$5:$P$24,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TP!$O$5:$P$24, 2, 0) &amp; ".",
"")</f>
        <v/>
      </c>
      <c r="AT13" s="61" t="str">
        <f>IFERROR(
   'Identitas Siswa'!E12 &amp; " " &amp; LOWER($AT$4) &amp; " " &amp; VLOOKUP(AR13, TP!$O$5:$P$24,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TP!$O$5:$P$24, 2, 0) &amp; ".",
"")</f>
        <v/>
      </c>
      <c r="AT14" s="61" t="str">
        <f>IFERROR(
   'Identitas Siswa'!E13 &amp; " " &amp; LOWER($AT$4) &amp; " " &amp; VLOOKUP(AR14, TP!$O$5:$P$24,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TP!$O$5:$P$24, 2, 0) &amp; ".",
"")</f>
        <v/>
      </c>
      <c r="AT15" s="61" t="str">
        <f>IFERROR(
   'Identitas Siswa'!E14 &amp; " " &amp; LOWER($AT$4) &amp; " " &amp; VLOOKUP(AR15, TP!$O$5:$P$24,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TP!$O$5:$P$24, 2, 0) &amp; ".",
"")</f>
        <v/>
      </c>
      <c r="AT16" s="61" t="str">
        <f>IFERROR(
   'Identitas Siswa'!E15 &amp; " " &amp; LOWER($AT$4) &amp; " " &amp; VLOOKUP(AR16, TP!$O$5:$P$24,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TP!$O$5:$P$24, 2, 0) &amp; ".",
"")</f>
        <v/>
      </c>
      <c r="AT17" s="61" t="str">
        <f>IFERROR(
   'Identitas Siswa'!E16 &amp; " " &amp; LOWER($AT$4) &amp; " " &amp; VLOOKUP(AR17, TP!$O$5:$P$24,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TP!$O$5:$P$24, 2, 0) &amp; ".",
"")</f>
        <v/>
      </c>
      <c r="AT18" s="61" t="str">
        <f>IFERROR(
   'Identitas Siswa'!E17 &amp; " " &amp; LOWER($AT$4) &amp; " " &amp; VLOOKUP(AR18, TP!$O$5:$P$24,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TP!$O$5:$P$24, 2, 0) &amp; ".",
"")</f>
        <v/>
      </c>
      <c r="AT19" s="61" t="str">
        <f>IFERROR(
   'Identitas Siswa'!E18 &amp; " " &amp; LOWER($AT$4) &amp; " " &amp; VLOOKUP(AR19, TP!$O$5:$P$24,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TP!$O$5:$P$24, 2, 0) &amp; ".",
"")</f>
        <v/>
      </c>
      <c r="AT20" s="61" t="str">
        <f>IFERROR(
   'Identitas Siswa'!E19 &amp; " " &amp; LOWER($AT$4) &amp; " " &amp; VLOOKUP(AR20, TP!$O$5:$P$24,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TP!$O$5:$P$24, 2, 0) &amp; ".",
"")</f>
        <v/>
      </c>
      <c r="AT21" s="61" t="str">
        <f>IFERROR(
   'Identitas Siswa'!E20 &amp; " " &amp; LOWER($AT$4) &amp; " " &amp; VLOOKUP(AR21, TP!$O$5:$P$24,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TP!$O$5:$P$24, 2, 0) &amp; ".",
"")</f>
        <v/>
      </c>
      <c r="AT22" s="61" t="str">
        <f>IFERROR(
   'Identitas Siswa'!E21 &amp; " " &amp; LOWER($AT$4) &amp; " " &amp; VLOOKUP(AR22, TP!$O$5:$P$24,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TP!$O$5:$P$24, 2, 0) &amp; ".",
"")</f>
        <v/>
      </c>
      <c r="AT23" s="61" t="str">
        <f>IFERROR(
   'Identitas Siswa'!E22 &amp; " " &amp; LOWER($AT$4) &amp; " " &amp; VLOOKUP(AR23, TP!$O$5:$P$24,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TP!$O$5:$P$24, 2, 0) &amp; ".",
"")</f>
        <v/>
      </c>
      <c r="AT24" s="61" t="str">
        <f>IFERROR(
   'Identitas Siswa'!E23 &amp; " " &amp; LOWER($AT$4) &amp; " " &amp; VLOOKUP(AR24, TP!$O$5:$P$24,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TP!$O$5:$P$24, 2, 0) &amp; ".",
"")</f>
        <v/>
      </c>
      <c r="AT25" s="61" t="str">
        <f>IFERROR(
   'Identitas Siswa'!E24 &amp; " " &amp; LOWER($AT$4) &amp; " " &amp; VLOOKUP(AR25, TP!$O$5:$P$24,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TP!$O$5:$P$24, 2, 0) &amp; ".",
"")</f>
        <v/>
      </c>
      <c r="AT26" s="61" t="str">
        <f>IFERROR(
   'Identitas Siswa'!E25 &amp; " " &amp; LOWER($AT$4) &amp; " " &amp; VLOOKUP(AR26, TP!$O$5:$P$24,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TP!$O$5:$P$24, 2, 0) &amp; ".",
"")</f>
        <v/>
      </c>
      <c r="AT27" s="61" t="str">
        <f>IFERROR(
   'Identitas Siswa'!E26 &amp; " " &amp; LOWER($AT$4) &amp; " " &amp; VLOOKUP(AR27, TP!$O$5:$P$24,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TP!$O$5:$P$24, 2, 0) &amp; ".",
"")</f>
        <v/>
      </c>
      <c r="AT28" s="61" t="str">
        <f>IFERROR(
   'Identitas Siswa'!E27 &amp; " " &amp; LOWER($AT$4) &amp; " " &amp; VLOOKUP(AR28, TP!$O$5:$P$24,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TP!$O$5:$P$24, 2, 0) &amp; ".",
"")</f>
        <v/>
      </c>
      <c r="AT29" s="61" t="str">
        <f>IFERROR(
   'Identitas Siswa'!E28 &amp; " " &amp; LOWER($AT$4) &amp; " " &amp; VLOOKUP(AR29, TP!$O$5:$P$24,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TP!$O$5:$P$24, 2, 0) &amp; ".",
"")</f>
        <v/>
      </c>
      <c r="AT30" s="61" t="str">
        <f>IFERROR(
   'Identitas Siswa'!E29 &amp; " " &amp; LOWER($AT$4) &amp; " " &amp; VLOOKUP(AR30, TP!$O$5:$P$24,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TP!$O$5:$P$24, 2, 0) &amp; ".",
"")</f>
        <v/>
      </c>
      <c r="AT31" s="61" t="str">
        <f>IFERROR(
   'Identitas Siswa'!E30 &amp; " " &amp; LOWER($AT$4) &amp; " " &amp; VLOOKUP(AR31, TP!$O$5:$P$24,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TP!$O$5:$P$24, 2, 0) &amp; ".",
"")</f>
        <v/>
      </c>
      <c r="AT32" s="61" t="str">
        <f>IFERROR(
   'Identitas Siswa'!E31 &amp; " " &amp; LOWER($AT$4) &amp; " " &amp; VLOOKUP(AR32, TP!$O$5:$P$24,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TP!$O$5:$P$24, 2, 0) &amp; ".",
"")</f>
        <v/>
      </c>
      <c r="AT33" s="61" t="str">
        <f>IFERROR(
   'Identitas Siswa'!E32 &amp; " " &amp; LOWER($AT$4) &amp; " " &amp; VLOOKUP(AR33, TP!$O$5:$P$24,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TP!$O$5:$P$24, 2, 0) &amp; ".",
"")</f>
        <v/>
      </c>
      <c r="AT34" s="61" t="str">
        <f>IFERROR(
   'Identitas Siswa'!E33 &amp; " " &amp; LOWER($AT$4) &amp; " " &amp; VLOOKUP(AR34, TP!$O$5:$P$24,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TP!$O$5:$P$24, 2, 0) &amp; ".",
"")</f>
        <v/>
      </c>
      <c r="AT35" s="61" t="str">
        <f>IFERROR(
   'Identitas Siswa'!E34 &amp; " " &amp; LOWER($AT$4) &amp; " " &amp; VLOOKUP(AR35, TP!$O$5:$P$24,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TP!$O$5:$P$24, 2, 0) &amp; ".",
"")</f>
        <v/>
      </c>
      <c r="AT36" s="61" t="str">
        <f>IFERROR(
   'Identitas Siswa'!E35 &amp; " " &amp; LOWER($AT$4) &amp; " " &amp; VLOOKUP(AR36, TP!$O$5:$P$24,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TP!$O$5:$P$24, 2, 0) &amp; ".",
"")</f>
        <v/>
      </c>
      <c r="AT37" s="61" t="str">
        <f>IFERROR(
   'Identitas Siswa'!E36 &amp; " " &amp; LOWER($AT$4) &amp; " " &amp; VLOOKUP(AR37, TP!$O$5:$P$24,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TP!$O$5:$P$24, 2, 0) &amp; ".",
"")</f>
        <v/>
      </c>
      <c r="AT38" s="61" t="str">
        <f>IFERROR(
   'Identitas Siswa'!E37 &amp; " " &amp; LOWER($AT$4) &amp; " " &amp; VLOOKUP(AR38, TP!$O$5:$P$24,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TP!$O$5:$P$24, 2, 0) &amp; ".",
"")</f>
        <v/>
      </c>
      <c r="AT39" s="61" t="str">
        <f>IFERROR(
   'Identitas Siswa'!E38 &amp; " " &amp; LOWER($AT$4) &amp; " " &amp; VLOOKUP(AR39, TP!$O$5:$P$24,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TP!$O$5:$P$24, 2, 0) &amp; ".",
"")</f>
        <v/>
      </c>
      <c r="AT40" s="61" t="str">
        <f>IFERROR(
   'Identitas Siswa'!E39 &amp; " " &amp; LOWER($AT$4) &amp; " " &amp; VLOOKUP(AR40, TP!$O$5:$P$24,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TP!$O$5:$P$24, 2, 0) &amp; ".",
"")</f>
        <v/>
      </c>
      <c r="AT41" s="61" t="str">
        <f>IFERROR(
   'Identitas Siswa'!E40 &amp; " " &amp; LOWER($AT$4) &amp; " " &amp; VLOOKUP(AR41, TP!$O$5:$P$24,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TP!$O$5:$P$24, 2, 0) &amp; ".",
"")</f>
        <v/>
      </c>
      <c r="AT42" s="61" t="str">
        <f>IFERROR(
   'Identitas Siswa'!E41 &amp; " " &amp; LOWER($AT$4) &amp; " " &amp; VLOOKUP(AR42, TP!$O$5:$P$24,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TP!$O$5:$P$24, 2, 0) &amp; ".",
"")</f>
        <v/>
      </c>
      <c r="AT43" s="61" t="str">
        <f>IFERROR(
   'Identitas Siswa'!E42 &amp; " " &amp; LOWER($AT$4) &amp; " " &amp; VLOOKUP(AR43, TP!$O$5:$P$24,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TP!$O$5:$P$24, 2, 0) &amp; ".",
"")</f>
        <v/>
      </c>
      <c r="AT44" s="61" t="str">
        <f>IFERROR(
   'Identitas Siswa'!E43 &amp; " " &amp; LOWER($AT$4) &amp; " " &amp; VLOOKUP(AR44, TP!$O$5:$P$24,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TP!$O$5:$P$24, 2, 0) &amp; ".",
"")</f>
        <v/>
      </c>
      <c r="AT45" s="61" t="str">
        <f>IFERROR(
   'Identitas Siswa'!E44 &amp; " " &amp; LOWER($AT$4) &amp; " " &amp; VLOOKUP(AR45, TP!$O$5:$P$24,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TP!$O$5:$P$24, 2, 0) &amp; ".",
"")</f>
        <v/>
      </c>
      <c r="AT46" s="61" t="str">
        <f>IFERROR(
   'Identitas Siswa'!E45 &amp; " " &amp; LOWER($AT$4) &amp; " " &amp; VLOOKUP(AR46, TP!$O$5:$P$24,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TP!$O$5:$P$24, 2, 0) &amp; ".",
"")</f>
        <v/>
      </c>
      <c r="AT47" s="61" t="str">
        <f>IFERROR(
   'Identitas Siswa'!E46 &amp; " " &amp; LOWER($AT$4) &amp; " " &amp; VLOOKUP(AR47, TP!$O$5:$P$24,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TP!$O$5:$P$24, 2, 0) &amp; ".",
"")</f>
        <v/>
      </c>
      <c r="AT48" s="61" t="str">
        <f>IFERROR(
   'Identitas Siswa'!E47 &amp; " " &amp; LOWER($AT$4) &amp; " " &amp; VLOOKUP(AR48, TP!$O$5:$P$24,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TP!$O$5:$P$24, 2, 0) &amp; ".",
"")</f>
        <v/>
      </c>
      <c r="AT49" s="61" t="str">
        <f>IFERROR(
   'Identitas Siswa'!E48 &amp; " " &amp; LOWER($AT$4) &amp; " " &amp; VLOOKUP(AR49, TP!$O$5:$P$24,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TP!$O$5:$P$24, 2, 0) &amp; ".",
"")</f>
        <v/>
      </c>
      <c r="AT50" s="61" t="str">
        <f>IFERROR(
   'Identitas Siswa'!E49 &amp; " " &amp; LOWER($AT$4) &amp; " " &amp; VLOOKUP(AR50, TP!$O$5:$P$24,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TP!$O$5:$P$24, 2, 0) &amp; ".",
"")</f>
        <v/>
      </c>
      <c r="AT51" s="61" t="str">
        <f>IFERROR(
   'Identitas Siswa'!E50 &amp; " " &amp; LOWER($AT$4) &amp; " " &amp; VLOOKUP(AR51, TP!$O$5:$P$24,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TP!$O$5:$P$24, 2, 0) &amp; ".",
"")</f>
        <v/>
      </c>
      <c r="AT52" s="61" t="str">
        <f>IFERROR(
   'Identitas Siswa'!E51 &amp; " " &amp; LOWER($AT$4) &amp; " " &amp; VLOOKUP(AR52, TP!$O$5:$P$24,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TP!$O$5:$P$24, 2, 0) &amp; ".",
"")</f>
        <v/>
      </c>
      <c r="AT53" s="61" t="str">
        <f>IFERROR(
   'Identitas Siswa'!E52 &amp; " " &amp; LOWER($AT$4) &amp; " " &amp; VLOOKUP(AR53, TP!$O$5:$P$24,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TP!$O$5:$P$24, 2, 0) &amp; ".",
"")</f>
        <v/>
      </c>
      <c r="AT54" s="61" t="str">
        <f>IFERROR(
   'Identitas Siswa'!E53 &amp; " " &amp; LOWER($AT$4) &amp; " " &amp; VLOOKUP(AR54, TP!$O$5:$P$24,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TP!$O$5:$P$24, 2, 0) &amp; ".",
"")</f>
        <v/>
      </c>
      <c r="AT55" s="61" t="str">
        <f>IFERROR(
   'Identitas Siswa'!E54 &amp; " " &amp; LOWER($AT$4) &amp; " " &amp; VLOOKUP(AR55, TP!$O$5:$P$24,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TP!$O$5:$P$24, 2, 0) &amp; ".",
"")</f>
        <v/>
      </c>
      <c r="AT56" s="61" t="str">
        <f>IFERROR(
   'Identitas Siswa'!E55 &amp; " " &amp; LOWER($AT$4) &amp; " " &amp; VLOOKUP(AR56, TP!$O$5:$P$24,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TP!$O$5:$P$24, 2, 0) &amp; ".",
"")</f>
        <v/>
      </c>
      <c r="AT57" s="61" t="str">
        <f>IFERROR(
   'Identitas Siswa'!E56 &amp; " " &amp; LOWER($AT$4) &amp; " " &amp; VLOOKUP(AR57, TP!$O$5:$P$24,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TP!$O$5:$P$24, 2, 0) &amp; ".",
"")</f>
        <v/>
      </c>
      <c r="AT58" s="61" t="str">
        <f>IFERROR(
   'Identitas Siswa'!E57 &amp; " " &amp; LOWER($AT$4) &amp; " " &amp; VLOOKUP(AR58, TP!$O$5:$P$24,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TP!$O$5:$P$24, 2, 0) &amp; ".",
"")</f>
        <v/>
      </c>
      <c r="AT59" s="61" t="str">
        <f>IFERROR(
   'Identitas Siswa'!E58 &amp; " " &amp; LOWER($AT$4) &amp; " " &amp; VLOOKUP(AR59, TP!$O$5:$P$24,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TP!$O$5:$P$24, 2, 0) &amp; ".",
"")</f>
        <v/>
      </c>
      <c r="AT60" s="61" t="str">
        <f>IFERROR(
   'Identitas Siswa'!E59 &amp; " " &amp; LOWER($AT$4) &amp; " " &amp; VLOOKUP(AR60, TP!$O$5:$P$24,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TP!$O$5:$P$24, 2, 0) &amp; ".",
"")</f>
        <v/>
      </c>
      <c r="AT61" s="61" t="str">
        <f>IFERROR(
   'Identitas Siswa'!E60 &amp; " " &amp; LOWER($AT$4) &amp; " " &amp; VLOOKUP(AR61, TP!$O$5:$P$24,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TP!$O$5:$P$24, 2, 0) &amp; ".",
"")</f>
        <v/>
      </c>
      <c r="AT62" s="61" t="str">
        <f>IFERROR(
   'Identitas Siswa'!E61 &amp; " " &amp; LOWER($AT$4) &amp; " " &amp; VLOOKUP(AR62, TP!$O$5:$P$24,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TP!$O$5:$P$24, 2, 0) &amp; ".",
"")</f>
        <v/>
      </c>
      <c r="AT63" s="61" t="str">
        <f>IFERROR(
   'Identitas Siswa'!E62 &amp; " " &amp; LOWER($AT$4) &amp; " " &amp; VLOOKUP(AR63, TP!$O$5:$P$24,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TP!$O$5:$P$24, 2, 0) &amp; ".",
"")</f>
        <v/>
      </c>
      <c r="AT64" s="61" t="str">
        <f>IFERROR(
   'Identitas Siswa'!E63 &amp; " " &amp; LOWER($AT$4) &amp; " " &amp; VLOOKUP(AR64, TP!$O$5:$P$24,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TP!$O$5:$P$24, 2, 0) &amp; ".",
"")</f>
        <v/>
      </c>
      <c r="AT65" s="61" t="str">
        <f>IFERROR(
   'Identitas Siswa'!E64 &amp; " " &amp; LOWER($AT$4) &amp; " " &amp; VLOOKUP(AR65, TP!$O$5:$P$24,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TP!$O$5:$P$24, 2, 0) &amp; ".",
"")</f>
        <v/>
      </c>
      <c r="AT66" s="61" t="str">
        <f>IFERROR(
   'Identitas Siswa'!E65 &amp; " " &amp; LOWER($AT$4) &amp; " " &amp; VLOOKUP(AR66, TP!$O$5:$P$24,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TP!$O$5:$P$24, 2, 0) &amp; ".",
"")</f>
        <v/>
      </c>
      <c r="AT67" s="61" t="str">
        <f>IFERROR(
   'Identitas Siswa'!E66 &amp; " " &amp; LOWER($AT$4) &amp; " " &amp; VLOOKUP(AR67, TP!$O$5:$P$24,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TP!$O$5:$P$24, 2, 0) &amp; ".",
"")</f>
        <v/>
      </c>
      <c r="AT68" s="61" t="str">
        <f>IFERROR(
   'Identitas Siswa'!E67 &amp; " " &amp; LOWER($AT$4) &amp; " " &amp; VLOOKUP(AR68, TP!$O$5:$P$24,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447" priority="32">
      <formula>$C$8=""</formula>
    </cfRule>
  </conditionalFormatting>
  <conditionalFormatting sqref="D9:D68">
    <cfRule type="expression" dxfId="446" priority="31">
      <formula>$D$8=""</formula>
    </cfRule>
  </conditionalFormatting>
  <conditionalFormatting sqref="E9:E68">
    <cfRule type="expression" dxfId="445" priority="30">
      <formula>$E$8=""</formula>
    </cfRule>
  </conditionalFormatting>
  <conditionalFormatting sqref="F9:F68">
    <cfRule type="expression" dxfId="444" priority="29">
      <formula>$F$8=""</formula>
    </cfRule>
  </conditionalFormatting>
  <conditionalFormatting sqref="G9:G68">
    <cfRule type="expression" dxfId="443" priority="28">
      <formula>$G$8=""</formula>
    </cfRule>
  </conditionalFormatting>
  <conditionalFormatting sqref="H9:H68">
    <cfRule type="expression" dxfId="442" priority="27">
      <formula>$H$8=""</formula>
    </cfRule>
  </conditionalFormatting>
  <conditionalFormatting sqref="I9:I68">
    <cfRule type="expression" dxfId="441" priority="26">
      <formula>$I$8=""</formula>
    </cfRule>
  </conditionalFormatting>
  <conditionalFormatting sqref="J9:J68">
    <cfRule type="expression" dxfId="440" priority="25">
      <formula>$J$8=""</formula>
    </cfRule>
  </conditionalFormatting>
  <conditionalFormatting sqref="K9:K68">
    <cfRule type="expression" dxfId="439" priority="24">
      <formula>$K$8=""</formula>
    </cfRule>
  </conditionalFormatting>
  <conditionalFormatting sqref="L9:L68">
    <cfRule type="expression" dxfId="438" priority="23">
      <formula>$L$8=""</formula>
    </cfRule>
  </conditionalFormatting>
  <conditionalFormatting sqref="M9:M68">
    <cfRule type="expression" dxfId="437" priority="22">
      <formula>$M$8=""</formula>
    </cfRule>
  </conditionalFormatting>
  <conditionalFormatting sqref="N9:N68">
    <cfRule type="expression" dxfId="436" priority="21">
      <formula>$N$8=""</formula>
    </cfRule>
  </conditionalFormatting>
  <conditionalFormatting sqref="O9:O68">
    <cfRule type="expression" dxfId="435" priority="20">
      <formula>$O$8=""</formula>
    </cfRule>
  </conditionalFormatting>
  <conditionalFormatting sqref="P9:P68">
    <cfRule type="expression" dxfId="434" priority="19">
      <formula>$P$8=""</formula>
    </cfRule>
  </conditionalFormatting>
  <conditionalFormatting sqref="Q9:Q68">
    <cfRule type="expression" dxfId="433" priority="18">
      <formula>$Q$8=""</formula>
    </cfRule>
  </conditionalFormatting>
  <conditionalFormatting sqref="R9:R68">
    <cfRule type="expression" dxfId="432" priority="17">
      <formula>$R$8=""</formula>
    </cfRule>
  </conditionalFormatting>
  <conditionalFormatting sqref="S9:S68">
    <cfRule type="expression" dxfId="431" priority="16">
      <formula>$S$8=""</formula>
    </cfRule>
  </conditionalFormatting>
  <conditionalFormatting sqref="T9:T68">
    <cfRule type="expression" dxfId="430" priority="15">
      <formula>$T$8=""</formula>
    </cfRule>
  </conditionalFormatting>
  <conditionalFormatting sqref="U9:U68">
    <cfRule type="expression" dxfId="429" priority="14">
      <formula>$U$8=""</formula>
    </cfRule>
  </conditionalFormatting>
  <conditionalFormatting sqref="V9:V68">
    <cfRule type="expression" dxfId="428" priority="13">
      <formula>$V$8=""</formula>
    </cfRule>
  </conditionalFormatting>
  <conditionalFormatting sqref="W9:W68">
    <cfRule type="expression" dxfId="427" priority="12">
      <formula>$W$8=""</formula>
    </cfRule>
  </conditionalFormatting>
  <conditionalFormatting sqref="X9:X68">
    <cfRule type="expression" dxfId="426" priority="11">
      <formula>$X$8=""</formula>
    </cfRule>
  </conditionalFormatting>
  <conditionalFormatting sqref="Y9:Y68">
    <cfRule type="expression" dxfId="425" priority="10">
      <formula>$Y$8=""</formula>
    </cfRule>
  </conditionalFormatting>
  <conditionalFormatting sqref="Z9:Z68">
    <cfRule type="expression" dxfId="424" priority="9">
      <formula>$Z$8=""</formula>
    </cfRule>
  </conditionalFormatting>
  <conditionalFormatting sqref="AA9:AA68">
    <cfRule type="expression" dxfId="423" priority="8">
      <formula>$AA$8=""</formula>
    </cfRule>
  </conditionalFormatting>
  <conditionalFormatting sqref="AB9:AB68">
    <cfRule type="expression" dxfId="422" priority="7">
      <formula>$AB$8=""</formula>
    </cfRule>
  </conditionalFormatting>
  <conditionalFormatting sqref="AC9:AC68">
    <cfRule type="expression" dxfId="421" priority="6">
      <formula>$AC$8=""</formula>
    </cfRule>
  </conditionalFormatting>
  <conditionalFormatting sqref="AD9:AD68">
    <cfRule type="expression" dxfId="420" priority="5">
      <formula>$AD$8=""</formula>
    </cfRule>
  </conditionalFormatting>
  <conditionalFormatting sqref="AE9:AE68">
    <cfRule type="expression" dxfId="419" priority="4">
      <formula>$AE$8=""</formula>
    </cfRule>
  </conditionalFormatting>
  <conditionalFormatting sqref="AF9:AF68">
    <cfRule type="expression" dxfId="418" priority="3">
      <formula>$AF$8=""</formula>
    </cfRule>
  </conditionalFormatting>
  <conditionalFormatting sqref="AG9:AG68">
    <cfRule type="expression" dxfId="417" priority="2">
      <formula>$AG$8=""</formula>
    </cfRule>
  </conditionalFormatting>
  <conditionalFormatting sqref="AH9:AH68">
    <cfRule type="expression" dxfId="41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584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913D-6B26-44A1-BC0B-5BCBF208203A}">
  <sheetPr codeName="Sheet9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IF(TRANSPOSE(TP!G5:G24)="", "", TRANSPOSE(TP!G5:G24))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>TP 15</v>
      </c>
      <c r="R8" s="52" t="str">
        <v>TP 16</v>
      </c>
      <c r="S8" s="52" t="str">
        <v>TP 17</v>
      </c>
      <c r="T8" s="52" t="str">
        <v>TP 18</v>
      </c>
      <c r="U8" s="52" t="str">
        <v>TP 19</v>
      </c>
      <c r="V8" s="52" t="str">
        <v>TP 20</v>
      </c>
      <c r="W8" s="58" t="str" cm="1">
        <f t="array" ref="W8:AH8">IF(TRANSPOSE(TP!R5:R16)="", "", TRANSPOSE(TP!R5:R16))</f>
        <v>Bilangan Desimal dan Bilangan Bulat</v>
      </c>
      <c r="X8" s="58" t="str">
        <v>Pengukuran per Kuantitas Unit</v>
      </c>
      <c r="Y8" s="82" t="str">
        <v>Perkalian Bilangan Desimal</v>
      </c>
      <c r="Z8" s="82" t="str">
        <v>Kekongruenan dan Sudut dari Bangun Datar</v>
      </c>
      <c r="AA8" s="82" t="str">
        <v>Pembagian Bilangan Desimal</v>
      </c>
      <c r="AB8" s="82" t="str">
        <v>Volume</v>
      </c>
      <c r="AC8" s="82" t="str">
        <v>Kelipatan dan Faktor</v>
      </c>
      <c r="AD8" s="82" t="str">
        <v>Pecahan</v>
      </c>
      <c r="AE8" s="82" t="str">
        <v/>
      </c>
      <c r="AF8" s="82" t="str">
        <v/>
      </c>
      <c r="AG8" s="82" t="str">
        <v/>
      </c>
      <c r="AH8" s="82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TP!$S$5:$T$24, 2, 0) &amp; ".",
"")</f>
        <v>Abhy menunjukkan penguasaan dalam memperdalam pemahaman tentang bilangan bulat dan desimal melalui nilai tempat.</v>
      </c>
      <c r="AT9" s="61" t="str">
        <f>IFERROR(
   'Identitas Siswa'!E8 &amp; " " &amp; LOWER($AT$4) &amp; " " &amp; VLOOKUP(AR9, TP!$S$5:$T$24, 2, 0) &amp; ".",
"")</f>
        <v>Abhy perlu bimbingan dalam memperdalam pemahaman tentang bilangan bulat dan desimal melalui nilai tempat.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36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TP!$S$5:$T$24, 2, 0) &amp; ".",
"")</f>
        <v>aku menunjukkan penguasaan dalam memperdalam pemahaman tentang bilangan bulat dan desimal melalui nilai tempat.</v>
      </c>
      <c r="AT10" s="61" t="str">
        <f>IFERROR(
   'Identitas Siswa'!E9 &amp; " " &amp; LOWER($AT$4) &amp; " " &amp; VLOOKUP(AR10, TP!$S$5:$T$24, 2, 0) &amp; ".",
"")</f>
        <v>aku perlu bimbingan dalam memperdalam pemahaman tentang bilangan bulat dan desimal melalui nilai tempat.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TP!$S$5:$T$24, 2, 0) &amp; ".",
"")</f>
        <v/>
      </c>
      <c r="AT11" s="61" t="str">
        <f>IFERROR(
   'Identitas Siswa'!E10 &amp; " " &amp; LOWER($AT$4) &amp; " " &amp; VLOOKUP(AR11, TP!$S$5:$T$24,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TP!$S$5:$T$24, 2, 0) &amp; ".",
"")</f>
        <v/>
      </c>
      <c r="AT12" s="61" t="str">
        <f>IFERROR(
   'Identitas Siswa'!E11 &amp; " " &amp; LOWER($AT$4) &amp; " " &amp; VLOOKUP(AR12, TP!$S$5:$T$24,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TP!$S$5:$T$24, 2, 0) &amp; ".",
"")</f>
        <v/>
      </c>
      <c r="AT13" s="61" t="str">
        <f>IFERROR(
   'Identitas Siswa'!E12 &amp; " " &amp; LOWER($AT$4) &amp; " " &amp; VLOOKUP(AR13, TP!$S$5:$T$24,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TP!$S$5:$T$24, 2, 0) &amp; ".",
"")</f>
        <v/>
      </c>
      <c r="AT14" s="61" t="str">
        <f>IFERROR(
   'Identitas Siswa'!E13 &amp; " " &amp; LOWER($AT$4) &amp; " " &amp; VLOOKUP(AR14, TP!$S$5:$T$24,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TP!$S$5:$T$24, 2, 0) &amp; ".",
"")</f>
        <v/>
      </c>
      <c r="AT15" s="61" t="str">
        <f>IFERROR(
   'Identitas Siswa'!E14 &amp; " " &amp; LOWER($AT$4) &amp; " " &amp; VLOOKUP(AR15, TP!$S$5:$T$24,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TP!$S$5:$T$24, 2, 0) &amp; ".",
"")</f>
        <v/>
      </c>
      <c r="AT16" s="61" t="str">
        <f>IFERROR(
   'Identitas Siswa'!E15 &amp; " " &amp; LOWER($AT$4) &amp; " " &amp; VLOOKUP(AR16, TP!$S$5:$T$24,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TP!$S$5:$T$24, 2, 0) &amp; ".",
"")</f>
        <v/>
      </c>
      <c r="AT17" s="61" t="str">
        <f>IFERROR(
   'Identitas Siswa'!E16 &amp; " " &amp; LOWER($AT$4) &amp; " " &amp; VLOOKUP(AR17, TP!$S$5:$T$24,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TP!$S$5:$T$24, 2, 0) &amp; ".",
"")</f>
        <v/>
      </c>
      <c r="AT18" s="61" t="str">
        <f>IFERROR(
   'Identitas Siswa'!E17 &amp; " " &amp; LOWER($AT$4) &amp; " " &amp; VLOOKUP(AR18, TP!$S$5:$T$24,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TP!$S$5:$T$24, 2, 0) &amp; ".",
"")</f>
        <v/>
      </c>
      <c r="AT19" s="61" t="str">
        <f>IFERROR(
   'Identitas Siswa'!E18 &amp; " " &amp; LOWER($AT$4) &amp; " " &amp; VLOOKUP(AR19, TP!$S$5:$T$24,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TP!$S$5:$T$24, 2, 0) &amp; ".",
"")</f>
        <v/>
      </c>
      <c r="AT20" s="61" t="str">
        <f>IFERROR(
   'Identitas Siswa'!E19 &amp; " " &amp; LOWER($AT$4) &amp; " " &amp; VLOOKUP(AR20, TP!$S$5:$T$24,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TP!$S$5:$T$24, 2, 0) &amp; ".",
"")</f>
        <v/>
      </c>
      <c r="AT21" s="61" t="str">
        <f>IFERROR(
   'Identitas Siswa'!E20 &amp; " " &amp; LOWER($AT$4) &amp; " " &amp; VLOOKUP(AR21, TP!$S$5:$T$24,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TP!$S$5:$T$24, 2, 0) &amp; ".",
"")</f>
        <v/>
      </c>
      <c r="AT22" s="61" t="str">
        <f>IFERROR(
   'Identitas Siswa'!E21 &amp; " " &amp; LOWER($AT$4) &amp; " " &amp; VLOOKUP(AR22, TP!$S$5:$T$24,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TP!$S$5:$T$24, 2, 0) &amp; ".",
"")</f>
        <v/>
      </c>
      <c r="AT23" s="61" t="str">
        <f>IFERROR(
   'Identitas Siswa'!E22 &amp; " " &amp; LOWER($AT$4) &amp; " " &amp; VLOOKUP(AR23, TP!$S$5:$T$24,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TP!$S$5:$T$24, 2, 0) &amp; ".",
"")</f>
        <v/>
      </c>
      <c r="AT24" s="61" t="str">
        <f>IFERROR(
   'Identitas Siswa'!E23 &amp; " " &amp; LOWER($AT$4) &amp; " " &amp; VLOOKUP(AR24, TP!$S$5:$T$24,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TP!$S$5:$T$24, 2, 0) &amp; ".",
"")</f>
        <v/>
      </c>
      <c r="AT25" s="61" t="str">
        <f>IFERROR(
   'Identitas Siswa'!E24 &amp; " " &amp; LOWER($AT$4) &amp; " " &amp; VLOOKUP(AR25, TP!$S$5:$T$24,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TP!$S$5:$T$24, 2, 0) &amp; ".",
"")</f>
        <v/>
      </c>
      <c r="AT26" s="61" t="str">
        <f>IFERROR(
   'Identitas Siswa'!E25 &amp; " " &amp; LOWER($AT$4) &amp; " " &amp; VLOOKUP(AR26, TP!$S$5:$T$24,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TP!$S$5:$T$24, 2, 0) &amp; ".",
"")</f>
        <v/>
      </c>
      <c r="AT27" s="61" t="str">
        <f>IFERROR(
   'Identitas Siswa'!E26 &amp; " " &amp; LOWER($AT$4) &amp; " " &amp; VLOOKUP(AR27, TP!$S$5:$T$24,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TP!$S$5:$T$24, 2, 0) &amp; ".",
"")</f>
        <v/>
      </c>
      <c r="AT28" s="61" t="str">
        <f>IFERROR(
   'Identitas Siswa'!E27 &amp; " " &amp; LOWER($AT$4) &amp; " " &amp; VLOOKUP(AR28, TP!$S$5:$T$24,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TP!$S$5:$T$24, 2, 0) &amp; ".",
"")</f>
        <v/>
      </c>
      <c r="AT29" s="61" t="str">
        <f>IFERROR(
   'Identitas Siswa'!E28 &amp; " " &amp; LOWER($AT$4) &amp; " " &amp; VLOOKUP(AR29, TP!$S$5:$T$24,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TP!$S$5:$T$24, 2, 0) &amp; ".",
"")</f>
        <v/>
      </c>
      <c r="AT30" s="61" t="str">
        <f>IFERROR(
   'Identitas Siswa'!E29 &amp; " " &amp; LOWER($AT$4) &amp; " " &amp; VLOOKUP(AR30, TP!$S$5:$T$24,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TP!$S$5:$T$24, 2, 0) &amp; ".",
"")</f>
        <v/>
      </c>
      <c r="AT31" s="61" t="str">
        <f>IFERROR(
   'Identitas Siswa'!E30 &amp; " " &amp; LOWER($AT$4) &amp; " " &amp; VLOOKUP(AR31, TP!$S$5:$T$24,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TP!$S$5:$T$24, 2, 0) &amp; ".",
"")</f>
        <v/>
      </c>
      <c r="AT32" s="61" t="str">
        <f>IFERROR(
   'Identitas Siswa'!E31 &amp; " " &amp; LOWER($AT$4) &amp; " " &amp; VLOOKUP(AR32, TP!$S$5:$T$24,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TP!$S$5:$T$24, 2, 0) &amp; ".",
"")</f>
        <v/>
      </c>
      <c r="AT33" s="61" t="str">
        <f>IFERROR(
   'Identitas Siswa'!E32 &amp; " " &amp; LOWER($AT$4) &amp; " " &amp; VLOOKUP(AR33, TP!$S$5:$T$24,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TP!$S$5:$T$24, 2, 0) &amp; ".",
"")</f>
        <v/>
      </c>
      <c r="AT34" s="61" t="str">
        <f>IFERROR(
   'Identitas Siswa'!E33 &amp; " " &amp; LOWER($AT$4) &amp; " " &amp; VLOOKUP(AR34, TP!$S$5:$T$24,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TP!$S$5:$T$24, 2, 0) &amp; ".",
"")</f>
        <v/>
      </c>
      <c r="AT35" s="61" t="str">
        <f>IFERROR(
   'Identitas Siswa'!E34 &amp; " " &amp; LOWER($AT$4) &amp; " " &amp; VLOOKUP(AR35, TP!$S$5:$T$24,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TP!$S$5:$T$24, 2, 0) &amp; ".",
"")</f>
        <v/>
      </c>
      <c r="AT36" s="61" t="str">
        <f>IFERROR(
   'Identitas Siswa'!E35 &amp; " " &amp; LOWER($AT$4) &amp; " " &amp; VLOOKUP(AR36, TP!$S$5:$T$24,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TP!$S$5:$T$24, 2, 0) &amp; ".",
"")</f>
        <v/>
      </c>
      <c r="AT37" s="61" t="str">
        <f>IFERROR(
   'Identitas Siswa'!E36 &amp; " " &amp; LOWER($AT$4) &amp; " " &amp; VLOOKUP(AR37, TP!$S$5:$T$24,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TP!$S$5:$T$24, 2, 0) &amp; ".",
"")</f>
        <v/>
      </c>
      <c r="AT38" s="61" t="str">
        <f>IFERROR(
   'Identitas Siswa'!E37 &amp; " " &amp; LOWER($AT$4) &amp; " " &amp; VLOOKUP(AR38, TP!$S$5:$T$24,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TP!$S$5:$T$24, 2, 0) &amp; ".",
"")</f>
        <v/>
      </c>
      <c r="AT39" s="61" t="str">
        <f>IFERROR(
   'Identitas Siswa'!E38 &amp; " " &amp; LOWER($AT$4) &amp; " " &amp; VLOOKUP(AR39, TP!$S$5:$T$24,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TP!$S$5:$T$24, 2, 0) &amp; ".",
"")</f>
        <v/>
      </c>
      <c r="AT40" s="61" t="str">
        <f>IFERROR(
   'Identitas Siswa'!E39 &amp; " " &amp; LOWER($AT$4) &amp; " " &amp; VLOOKUP(AR40, TP!$S$5:$T$24,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TP!$S$5:$T$24, 2, 0) &amp; ".",
"")</f>
        <v/>
      </c>
      <c r="AT41" s="61" t="str">
        <f>IFERROR(
   'Identitas Siswa'!E40 &amp; " " &amp; LOWER($AT$4) &amp; " " &amp; VLOOKUP(AR41, TP!$S$5:$T$24,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TP!$S$5:$T$24, 2, 0) &amp; ".",
"")</f>
        <v/>
      </c>
      <c r="AT42" s="61" t="str">
        <f>IFERROR(
   'Identitas Siswa'!E41 &amp; " " &amp; LOWER($AT$4) &amp; " " &amp; VLOOKUP(AR42, TP!$S$5:$T$24,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TP!$S$5:$T$24, 2, 0) &amp; ".",
"")</f>
        <v/>
      </c>
      <c r="AT43" s="61" t="str">
        <f>IFERROR(
   'Identitas Siswa'!E42 &amp; " " &amp; LOWER($AT$4) &amp; " " &amp; VLOOKUP(AR43, TP!$S$5:$T$24,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TP!$S$5:$T$24, 2, 0) &amp; ".",
"")</f>
        <v/>
      </c>
      <c r="AT44" s="61" t="str">
        <f>IFERROR(
   'Identitas Siswa'!E43 &amp; " " &amp; LOWER($AT$4) &amp; " " &amp; VLOOKUP(AR44, TP!$S$5:$T$24,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TP!$S$5:$T$24, 2, 0) &amp; ".",
"")</f>
        <v/>
      </c>
      <c r="AT45" s="61" t="str">
        <f>IFERROR(
   'Identitas Siswa'!E44 &amp; " " &amp; LOWER($AT$4) &amp; " " &amp; VLOOKUP(AR45, TP!$S$5:$T$24,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TP!$S$5:$T$24, 2, 0) &amp; ".",
"")</f>
        <v/>
      </c>
      <c r="AT46" s="61" t="str">
        <f>IFERROR(
   'Identitas Siswa'!E45 &amp; " " &amp; LOWER($AT$4) &amp; " " &amp; VLOOKUP(AR46, TP!$S$5:$T$24,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TP!$S$5:$T$24, 2, 0) &amp; ".",
"")</f>
        <v/>
      </c>
      <c r="AT47" s="61" t="str">
        <f>IFERROR(
   'Identitas Siswa'!E46 &amp; " " &amp; LOWER($AT$4) &amp; " " &amp; VLOOKUP(AR47, TP!$S$5:$T$24,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TP!$S$5:$T$24, 2, 0) &amp; ".",
"")</f>
        <v/>
      </c>
      <c r="AT48" s="61" t="str">
        <f>IFERROR(
   'Identitas Siswa'!E47 &amp; " " &amp; LOWER($AT$4) &amp; " " &amp; VLOOKUP(AR48, TP!$S$5:$T$24,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TP!$S$5:$T$24, 2, 0) &amp; ".",
"")</f>
        <v/>
      </c>
      <c r="AT49" s="61" t="str">
        <f>IFERROR(
   'Identitas Siswa'!E48 &amp; " " &amp; LOWER($AT$4) &amp; " " &amp; VLOOKUP(AR49, TP!$S$5:$T$24,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TP!$S$5:$T$24, 2, 0) &amp; ".",
"")</f>
        <v/>
      </c>
      <c r="AT50" s="61" t="str">
        <f>IFERROR(
   'Identitas Siswa'!E49 &amp; " " &amp; LOWER($AT$4) &amp; " " &amp; VLOOKUP(AR50, TP!$S$5:$T$24,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TP!$S$5:$T$24, 2, 0) &amp; ".",
"")</f>
        <v/>
      </c>
      <c r="AT51" s="61" t="str">
        <f>IFERROR(
   'Identitas Siswa'!E50 &amp; " " &amp; LOWER($AT$4) &amp; " " &amp; VLOOKUP(AR51, TP!$S$5:$T$24,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TP!$S$5:$T$24, 2, 0) &amp; ".",
"")</f>
        <v/>
      </c>
      <c r="AT52" s="61" t="str">
        <f>IFERROR(
   'Identitas Siswa'!E51 &amp; " " &amp; LOWER($AT$4) &amp; " " &amp; VLOOKUP(AR52, TP!$S$5:$T$24,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TP!$S$5:$T$24, 2, 0) &amp; ".",
"")</f>
        <v/>
      </c>
      <c r="AT53" s="61" t="str">
        <f>IFERROR(
   'Identitas Siswa'!E52 &amp; " " &amp; LOWER($AT$4) &amp; " " &amp; VLOOKUP(AR53, TP!$S$5:$T$24,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TP!$S$5:$T$24, 2, 0) &amp; ".",
"")</f>
        <v/>
      </c>
      <c r="AT54" s="61" t="str">
        <f>IFERROR(
   'Identitas Siswa'!E53 &amp; " " &amp; LOWER($AT$4) &amp; " " &amp; VLOOKUP(AR54, TP!$S$5:$T$24,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TP!$S$5:$T$24, 2, 0) &amp; ".",
"")</f>
        <v/>
      </c>
      <c r="AT55" s="61" t="str">
        <f>IFERROR(
   'Identitas Siswa'!E54 &amp; " " &amp; LOWER($AT$4) &amp; " " &amp; VLOOKUP(AR55, TP!$S$5:$T$24,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TP!$S$5:$T$24, 2, 0) &amp; ".",
"")</f>
        <v/>
      </c>
      <c r="AT56" s="61" t="str">
        <f>IFERROR(
   'Identitas Siswa'!E55 &amp; " " &amp; LOWER($AT$4) &amp; " " &amp; VLOOKUP(AR56, TP!$S$5:$T$24,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TP!$S$5:$T$24, 2, 0) &amp; ".",
"")</f>
        <v/>
      </c>
      <c r="AT57" s="61" t="str">
        <f>IFERROR(
   'Identitas Siswa'!E56 &amp; " " &amp; LOWER($AT$4) &amp; " " &amp; VLOOKUP(AR57, TP!$S$5:$T$24,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TP!$S$5:$T$24, 2, 0) &amp; ".",
"")</f>
        <v/>
      </c>
      <c r="AT58" s="61" t="str">
        <f>IFERROR(
   'Identitas Siswa'!E57 &amp; " " &amp; LOWER($AT$4) &amp; " " &amp; VLOOKUP(AR58, TP!$S$5:$T$24,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TP!$S$5:$T$24, 2, 0) &amp; ".",
"")</f>
        <v/>
      </c>
      <c r="AT59" s="61" t="str">
        <f>IFERROR(
   'Identitas Siswa'!E58 &amp; " " &amp; LOWER($AT$4) &amp; " " &amp; VLOOKUP(AR59, TP!$S$5:$T$24,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TP!$S$5:$T$24, 2, 0) &amp; ".",
"")</f>
        <v/>
      </c>
      <c r="AT60" s="61" t="str">
        <f>IFERROR(
   'Identitas Siswa'!E59 &amp; " " &amp; LOWER($AT$4) &amp; " " &amp; VLOOKUP(AR60, TP!$S$5:$T$24,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TP!$S$5:$T$24, 2, 0) &amp; ".",
"")</f>
        <v/>
      </c>
      <c r="AT61" s="61" t="str">
        <f>IFERROR(
   'Identitas Siswa'!E60 &amp; " " &amp; LOWER($AT$4) &amp; " " &amp; VLOOKUP(AR61, TP!$S$5:$T$24,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TP!$S$5:$T$24, 2, 0) &amp; ".",
"")</f>
        <v/>
      </c>
      <c r="AT62" s="61" t="str">
        <f>IFERROR(
   'Identitas Siswa'!E61 &amp; " " &amp; LOWER($AT$4) &amp; " " &amp; VLOOKUP(AR62, TP!$S$5:$T$24,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TP!$S$5:$T$24, 2, 0) &amp; ".",
"")</f>
        <v/>
      </c>
      <c r="AT63" s="61" t="str">
        <f>IFERROR(
   'Identitas Siswa'!E62 &amp; " " &amp; LOWER($AT$4) &amp; " " &amp; VLOOKUP(AR63, TP!$S$5:$T$24,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TP!$S$5:$T$24, 2, 0) &amp; ".",
"")</f>
        <v/>
      </c>
      <c r="AT64" s="61" t="str">
        <f>IFERROR(
   'Identitas Siswa'!E63 &amp; " " &amp; LOWER($AT$4) &amp; " " &amp; VLOOKUP(AR64, TP!$S$5:$T$24,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TP!$S$5:$T$24, 2, 0) &amp; ".",
"")</f>
        <v/>
      </c>
      <c r="AT65" s="61" t="str">
        <f>IFERROR(
   'Identitas Siswa'!E64 &amp; " " &amp; LOWER($AT$4) &amp; " " &amp; VLOOKUP(AR65, TP!$S$5:$T$24,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TP!$S$5:$T$24, 2, 0) &amp; ".",
"")</f>
        <v/>
      </c>
      <c r="AT66" s="61" t="str">
        <f>IFERROR(
   'Identitas Siswa'!E65 &amp; " " &amp; LOWER($AT$4) &amp; " " &amp; VLOOKUP(AR66, TP!$S$5:$T$24,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TP!$S$5:$T$24, 2, 0) &amp; ".",
"")</f>
        <v/>
      </c>
      <c r="AT67" s="61" t="str">
        <f>IFERROR(
   'Identitas Siswa'!E66 &amp; " " &amp; LOWER($AT$4) &amp; " " &amp; VLOOKUP(AR67, TP!$S$5:$T$24,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TP!$S$5:$T$24, 2, 0) &amp; ".",
"")</f>
        <v/>
      </c>
      <c r="AT68" s="61" t="str">
        <f>IFERROR(
   'Identitas Siswa'!E67 &amp; " " &amp; LOWER($AT$4) &amp; " " &amp; VLOOKUP(AR68, TP!$S$5:$T$24,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415" priority="32">
      <formula>$C$8=""</formula>
    </cfRule>
  </conditionalFormatting>
  <conditionalFormatting sqref="D9:D68">
    <cfRule type="expression" dxfId="414" priority="31">
      <formula>$D$8=""</formula>
    </cfRule>
  </conditionalFormatting>
  <conditionalFormatting sqref="E9:E68">
    <cfRule type="expression" dxfId="413" priority="30">
      <formula>$E$8=""</formula>
    </cfRule>
  </conditionalFormatting>
  <conditionalFormatting sqref="F9:F68">
    <cfRule type="expression" dxfId="412" priority="29">
      <formula>$F$8=""</formula>
    </cfRule>
  </conditionalFormatting>
  <conditionalFormatting sqref="G9:G68">
    <cfRule type="expression" dxfId="411" priority="28">
      <formula>$G$8=""</formula>
    </cfRule>
  </conditionalFormatting>
  <conditionalFormatting sqref="H9:H68">
    <cfRule type="expression" dxfId="410" priority="27">
      <formula>$H$8=""</formula>
    </cfRule>
  </conditionalFormatting>
  <conditionalFormatting sqref="I9:I68">
    <cfRule type="expression" dxfId="409" priority="26">
      <formula>$I$8=""</formula>
    </cfRule>
  </conditionalFormatting>
  <conditionalFormatting sqref="J9:J68">
    <cfRule type="expression" dxfId="408" priority="25">
      <formula>$J$8=""</formula>
    </cfRule>
  </conditionalFormatting>
  <conditionalFormatting sqref="K9:K68">
    <cfRule type="expression" dxfId="407" priority="24">
      <formula>$K$8=""</formula>
    </cfRule>
  </conditionalFormatting>
  <conditionalFormatting sqref="L9:L68">
    <cfRule type="expression" dxfId="406" priority="23">
      <formula>$L$8=""</formula>
    </cfRule>
  </conditionalFormatting>
  <conditionalFormatting sqref="M9:M68">
    <cfRule type="expression" dxfId="405" priority="22">
      <formula>$M$8=""</formula>
    </cfRule>
  </conditionalFormatting>
  <conditionalFormatting sqref="N9:N68">
    <cfRule type="expression" dxfId="404" priority="21">
      <formula>$N$8=""</formula>
    </cfRule>
  </conditionalFormatting>
  <conditionalFormatting sqref="O9:O68">
    <cfRule type="expression" dxfId="403" priority="20">
      <formula>$O$8=""</formula>
    </cfRule>
  </conditionalFormatting>
  <conditionalFormatting sqref="P9:P68">
    <cfRule type="expression" dxfId="402" priority="19">
      <formula>$P$8=""</formula>
    </cfRule>
  </conditionalFormatting>
  <conditionalFormatting sqref="Q9:Q68">
    <cfRule type="expression" dxfId="401" priority="18">
      <formula>$Q$8=""</formula>
    </cfRule>
  </conditionalFormatting>
  <conditionalFormatting sqref="R9:R68">
    <cfRule type="expression" dxfId="400" priority="17">
      <formula>$R$8=""</formula>
    </cfRule>
  </conditionalFormatting>
  <conditionalFormatting sqref="S9:S68">
    <cfRule type="expression" dxfId="399" priority="16">
      <formula>$S$8=""</formula>
    </cfRule>
  </conditionalFormatting>
  <conditionalFormatting sqref="T9:T68">
    <cfRule type="expression" dxfId="398" priority="15">
      <formula>$T$8=""</formula>
    </cfRule>
  </conditionalFormatting>
  <conditionalFormatting sqref="U9:U68">
    <cfRule type="expression" dxfId="397" priority="14">
      <formula>$U$8=""</formula>
    </cfRule>
  </conditionalFormatting>
  <conditionalFormatting sqref="V9:V68">
    <cfRule type="expression" dxfId="396" priority="13">
      <formula>$V$8=""</formula>
    </cfRule>
  </conditionalFormatting>
  <conditionalFormatting sqref="W9:W68">
    <cfRule type="expression" dxfId="395" priority="12">
      <formula>$W$8=""</formula>
    </cfRule>
  </conditionalFormatting>
  <conditionalFormatting sqref="X9:X68">
    <cfRule type="expression" dxfId="394" priority="11">
      <formula>$X$8=""</formula>
    </cfRule>
  </conditionalFormatting>
  <conditionalFormatting sqref="Y9:Y68">
    <cfRule type="expression" dxfId="393" priority="10">
      <formula>$Y$8=""</formula>
    </cfRule>
  </conditionalFormatting>
  <conditionalFormatting sqref="Z9:Z68">
    <cfRule type="expression" dxfId="392" priority="9">
      <formula>$Z$8=""</formula>
    </cfRule>
  </conditionalFormatting>
  <conditionalFormatting sqref="AA9:AA68">
    <cfRule type="expression" dxfId="391" priority="8">
      <formula>$AA$8=""</formula>
    </cfRule>
  </conditionalFormatting>
  <conditionalFormatting sqref="AB9:AB68">
    <cfRule type="expression" dxfId="390" priority="7">
      <formula>$AB$8=""</formula>
    </cfRule>
  </conditionalFormatting>
  <conditionalFormatting sqref="AC9:AC68">
    <cfRule type="expression" dxfId="389" priority="6">
      <formula>$AC$8=""</formula>
    </cfRule>
  </conditionalFormatting>
  <conditionalFormatting sqref="AD9:AD68">
    <cfRule type="expression" dxfId="388" priority="5">
      <formula>$AD$8=""</formula>
    </cfRule>
  </conditionalFormatting>
  <conditionalFormatting sqref="AE9:AE68">
    <cfRule type="expression" dxfId="387" priority="4">
      <formula>$AE$8=""</formula>
    </cfRule>
  </conditionalFormatting>
  <conditionalFormatting sqref="AF9:AF68">
    <cfRule type="expression" dxfId="386" priority="3">
      <formula>$AF$8=""</formula>
    </cfRule>
  </conditionalFormatting>
  <conditionalFormatting sqref="AG9:AG68">
    <cfRule type="expression" dxfId="385" priority="2">
      <formula>$AG$8=""</formula>
    </cfRule>
  </conditionalFormatting>
  <conditionalFormatting sqref="AH9:AH68">
    <cfRule type="expression" dxfId="38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686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0BA89-16E5-42A8-845A-79B6D9FBDC5C}">
  <sheetPr codeName="Sheet10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IF(TRANSPOSE(TP!W5:W24)="", "", TRANSPOSE(TP!W5:W24))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IF(TRANSPOSE(TP!V5:V16)="", "", TRANSPOSE(TP!V5:V16))</f>
        <v>Melihat karena Cahaya, Mendengar karena Bunyi</v>
      </c>
      <c r="X8" s="53" t="str">
        <v>Harmoni dalam Ekosistem</v>
      </c>
      <c r="Y8" s="54" t="str">
        <v>Magnet, Listrik,  dan Teknologi untuk kehidupan</v>
      </c>
      <c r="Z8" s="54" t="str">
        <v>Mari Berkenalan dengan Bumi Kita</v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/>
      <c r="D9" s="165"/>
      <c r="E9" s="165"/>
      <c r="F9" s="165"/>
      <c r="G9" s="165"/>
      <c r="H9" s="165"/>
      <c r="I9" s="165"/>
      <c r="J9" s="165"/>
      <c r="K9" s="165">
        <v>90</v>
      </c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>
        <v>90</v>
      </c>
      <c r="Z9" s="165">
        <v>90</v>
      </c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9</v>
      </c>
      <c r="AQ9" s="59">
        <f>MIN(C9:V9)</f>
        <v>90</v>
      </c>
      <c r="AR9" s="59" t="str">
        <f>IFERROR(INDEX(C$8:V$8, MATCH(AQ9, C9:V9, 0)), "")</f>
        <v>TP 9</v>
      </c>
      <c r="AS9" s="61" t="str">
        <f>IFERROR(
   'Identitas Siswa'!E8 &amp; " " &amp; LOWER($AT$3) &amp; " " &amp; VLOOKUP(AP9, TP!$W$5:$X$24, 2, 0) &amp; ".",
"")</f>
        <v>Abhy menunjukkan penguasaan dalam mengetahui struktur lapisan Bumi (litosfer, hidrosfer, dan atmosfer) dan kenampakan alam.</v>
      </c>
      <c r="AT9" s="61" t="str">
        <f>IFERROR(
   'Identitas Siswa'!E8 &amp; " " &amp; LOWER($AT$4) &amp; " " &amp; VLOOKUP(AR9, TP!$W$5:$X$24, 2, 0) &amp; ".",
"")</f>
        <v>Abhy perlu bimbingan dalam mengetahui struktur lapisan Bumi (litosfer, hidrosfer, dan atmosfer) dan kenampakan alam.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TP!$W$5:$X$24, 2, 0) &amp; ".",
"")</f>
        <v>aku menunjukkan penguasaan dalam menjelaskan sifat-sifat bunyi dan cahaya melalui percobaan sederhana.</v>
      </c>
      <c r="AT10" s="61" t="str">
        <f>IFERROR(
   'Identitas Siswa'!E9 &amp; " " &amp; LOWER($AT$4) &amp; " " &amp; VLOOKUP(AR10, TP!$W$5:$X$24, 2, 0) &amp; ".",
"")</f>
        <v>aku perlu bimbingan dalam menjelaskan sifat-sifat bunyi dan cahaya melalui percobaan sederhana.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TP!$W$5:$X$24, 2, 0) &amp; ".",
"")</f>
        <v/>
      </c>
      <c r="AT11" s="61" t="str">
        <f>IFERROR(
   'Identitas Siswa'!E10 &amp; " " &amp; LOWER($AT$4) &amp; " " &amp; VLOOKUP(AR11, TP!$W$5:$X$24,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TP!$W$5:$X$24, 2, 0) &amp; ".",
"")</f>
        <v/>
      </c>
      <c r="AT12" s="61" t="str">
        <f>IFERROR(
   'Identitas Siswa'!E11 &amp; " " &amp; LOWER($AT$4) &amp; " " &amp; VLOOKUP(AR12, TP!$W$5:$X$24,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TP!$W$5:$X$24, 2, 0) &amp; ".",
"")</f>
        <v/>
      </c>
      <c r="AT13" s="61" t="str">
        <f>IFERROR(
   'Identitas Siswa'!E12 &amp; " " &amp; LOWER($AT$4) &amp; " " &amp; VLOOKUP(AR13, TP!$W$5:$X$24,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TP!$W$5:$X$24, 2, 0) &amp; ".",
"")</f>
        <v/>
      </c>
      <c r="AT14" s="61" t="str">
        <f>IFERROR(
   'Identitas Siswa'!E13 &amp; " " &amp; LOWER($AT$4) &amp; " " &amp; VLOOKUP(AR14, TP!$W$5:$X$24,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TP!$W$5:$X$24, 2, 0) &amp; ".",
"")</f>
        <v/>
      </c>
      <c r="AT15" s="61" t="str">
        <f>IFERROR(
   'Identitas Siswa'!E14 &amp; " " &amp; LOWER($AT$4) &amp; " " &amp; VLOOKUP(AR15, TP!$W$5:$X$24,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TP!$W$5:$X$24, 2, 0) &amp; ".",
"")</f>
        <v/>
      </c>
      <c r="AT16" s="61" t="str">
        <f>IFERROR(
   'Identitas Siswa'!E15 &amp; " " &amp; LOWER($AT$4) &amp; " " &amp; VLOOKUP(AR16, TP!$W$5:$X$24,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TP!$W$5:$X$24, 2, 0) &amp; ".",
"")</f>
        <v/>
      </c>
      <c r="AT17" s="61" t="str">
        <f>IFERROR(
   'Identitas Siswa'!E16 &amp; " " &amp; LOWER($AT$4) &amp; " " &amp; VLOOKUP(AR17, TP!$W$5:$X$24,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TP!$W$5:$X$24, 2, 0) &amp; ".",
"")</f>
        <v/>
      </c>
      <c r="AT18" s="61" t="str">
        <f>IFERROR(
   'Identitas Siswa'!E17 &amp; " " &amp; LOWER($AT$4) &amp; " " &amp; VLOOKUP(AR18, TP!$W$5:$X$24,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TP!$W$5:$X$24, 2, 0) &amp; ".",
"")</f>
        <v/>
      </c>
      <c r="AT19" s="61" t="str">
        <f>IFERROR(
   'Identitas Siswa'!E18 &amp; " " &amp; LOWER($AT$4) &amp; " " &amp; VLOOKUP(AR19, TP!$W$5:$X$24,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TP!$W$5:$X$24, 2, 0) &amp; ".",
"")</f>
        <v/>
      </c>
      <c r="AT20" s="61" t="str">
        <f>IFERROR(
   'Identitas Siswa'!E19 &amp; " " &amp; LOWER($AT$4) &amp; " " &amp; VLOOKUP(AR20, TP!$W$5:$X$24,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TP!$W$5:$X$24, 2, 0) &amp; ".",
"")</f>
        <v/>
      </c>
      <c r="AT21" s="61" t="str">
        <f>IFERROR(
   'Identitas Siswa'!E20 &amp; " " &amp; LOWER($AT$4) &amp; " " &amp; VLOOKUP(AR21, TP!$W$5:$X$24,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TP!$W$5:$X$24, 2, 0) &amp; ".",
"")</f>
        <v/>
      </c>
      <c r="AT22" s="61" t="str">
        <f>IFERROR(
   'Identitas Siswa'!E21 &amp; " " &amp; LOWER($AT$4) &amp; " " &amp; VLOOKUP(AR22, TP!$W$5:$X$24,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TP!$W$5:$X$24, 2, 0) &amp; ".",
"")</f>
        <v/>
      </c>
      <c r="AT23" s="61" t="str">
        <f>IFERROR(
   'Identitas Siswa'!E22 &amp; " " &amp; LOWER($AT$4) &amp; " " &amp; VLOOKUP(AR23, TP!$W$5:$X$24,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TP!$W$5:$X$24, 2, 0) &amp; ".",
"")</f>
        <v/>
      </c>
      <c r="AT24" s="61" t="str">
        <f>IFERROR(
   'Identitas Siswa'!E23 &amp; " " &amp; LOWER($AT$4) &amp; " " &amp; VLOOKUP(AR24, TP!$W$5:$X$24,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TP!$W$5:$X$24, 2, 0) &amp; ".",
"")</f>
        <v/>
      </c>
      <c r="AT25" s="61" t="str">
        <f>IFERROR(
   'Identitas Siswa'!E24 &amp; " " &amp; LOWER($AT$4) &amp; " " &amp; VLOOKUP(AR25, TP!$W$5:$X$24,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TP!$W$5:$X$24, 2, 0) &amp; ".",
"")</f>
        <v/>
      </c>
      <c r="AT26" s="61" t="str">
        <f>IFERROR(
   'Identitas Siswa'!E25 &amp; " " &amp; LOWER($AT$4) &amp; " " &amp; VLOOKUP(AR26, TP!$W$5:$X$24,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TP!$W$5:$X$24, 2, 0) &amp; ".",
"")</f>
        <v/>
      </c>
      <c r="AT27" s="61" t="str">
        <f>IFERROR(
   'Identitas Siswa'!E26 &amp; " " &amp; LOWER($AT$4) &amp; " " &amp; VLOOKUP(AR27, TP!$W$5:$X$24,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TP!$W$5:$X$24, 2, 0) &amp; ".",
"")</f>
        <v/>
      </c>
      <c r="AT28" s="61" t="str">
        <f>IFERROR(
   'Identitas Siswa'!E27 &amp; " " &amp; LOWER($AT$4) &amp; " " &amp; VLOOKUP(AR28, TP!$W$5:$X$24,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TP!$W$5:$X$24, 2, 0) &amp; ".",
"")</f>
        <v/>
      </c>
      <c r="AT29" s="61" t="str">
        <f>IFERROR(
   'Identitas Siswa'!E28 &amp; " " &amp; LOWER($AT$4) &amp; " " &amp; VLOOKUP(AR29, TP!$W$5:$X$24,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TP!$W$5:$X$24, 2, 0) &amp; ".",
"")</f>
        <v/>
      </c>
      <c r="AT30" s="61" t="str">
        <f>IFERROR(
   'Identitas Siswa'!E29 &amp; " " &amp; LOWER($AT$4) &amp; " " &amp; VLOOKUP(AR30, TP!$W$5:$X$24,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TP!$W$5:$X$24, 2, 0) &amp; ".",
"")</f>
        <v/>
      </c>
      <c r="AT31" s="61" t="str">
        <f>IFERROR(
   'Identitas Siswa'!E30 &amp; " " &amp; LOWER($AT$4) &amp; " " &amp; VLOOKUP(AR31, TP!$W$5:$X$24,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TP!$W$5:$X$24, 2, 0) &amp; ".",
"")</f>
        <v/>
      </c>
      <c r="AT32" s="61" t="str">
        <f>IFERROR(
   'Identitas Siswa'!E31 &amp; " " &amp; LOWER($AT$4) &amp; " " &amp; VLOOKUP(AR32, TP!$W$5:$X$24,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TP!$W$5:$X$24, 2, 0) &amp; ".",
"")</f>
        <v/>
      </c>
      <c r="AT33" s="61" t="str">
        <f>IFERROR(
   'Identitas Siswa'!E32 &amp; " " &amp; LOWER($AT$4) &amp; " " &amp; VLOOKUP(AR33, TP!$W$5:$X$24,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TP!$W$5:$X$24, 2, 0) &amp; ".",
"")</f>
        <v/>
      </c>
      <c r="AT34" s="61" t="str">
        <f>IFERROR(
   'Identitas Siswa'!E33 &amp; " " &amp; LOWER($AT$4) &amp; " " &amp; VLOOKUP(AR34, TP!$W$5:$X$24,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TP!$W$5:$X$24, 2, 0) &amp; ".",
"")</f>
        <v/>
      </c>
      <c r="AT35" s="61" t="str">
        <f>IFERROR(
   'Identitas Siswa'!E34 &amp; " " &amp; LOWER($AT$4) &amp; " " &amp; VLOOKUP(AR35, TP!$W$5:$X$24,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TP!$W$5:$X$24, 2, 0) &amp; ".",
"")</f>
        <v/>
      </c>
      <c r="AT36" s="61" t="str">
        <f>IFERROR(
   'Identitas Siswa'!E35 &amp; " " &amp; LOWER($AT$4) &amp; " " &amp; VLOOKUP(AR36, TP!$W$5:$X$24,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TP!$W$5:$X$24, 2, 0) &amp; ".",
"")</f>
        <v/>
      </c>
      <c r="AT37" s="61" t="str">
        <f>IFERROR(
   'Identitas Siswa'!E36 &amp; " " &amp; LOWER($AT$4) &amp; " " &amp; VLOOKUP(AR37, TP!$W$5:$X$24,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TP!$W$5:$X$24, 2, 0) &amp; ".",
"")</f>
        <v/>
      </c>
      <c r="AT38" s="61" t="str">
        <f>IFERROR(
   'Identitas Siswa'!E37 &amp; " " &amp; LOWER($AT$4) &amp; " " &amp; VLOOKUP(AR38, TP!$W$5:$X$24,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TP!$W$5:$X$24, 2, 0) &amp; ".",
"")</f>
        <v/>
      </c>
      <c r="AT39" s="61" t="str">
        <f>IFERROR(
   'Identitas Siswa'!E38 &amp; " " &amp; LOWER($AT$4) &amp; " " &amp; VLOOKUP(AR39, TP!$W$5:$X$24,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TP!$W$5:$X$24, 2, 0) &amp; ".",
"")</f>
        <v/>
      </c>
      <c r="AT40" s="61" t="str">
        <f>IFERROR(
   'Identitas Siswa'!E39 &amp; " " &amp; LOWER($AT$4) &amp; " " &amp; VLOOKUP(AR40, TP!$W$5:$X$24,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TP!$W$5:$X$24, 2, 0) &amp; ".",
"")</f>
        <v/>
      </c>
      <c r="AT41" s="61" t="str">
        <f>IFERROR(
   'Identitas Siswa'!E40 &amp; " " &amp; LOWER($AT$4) &amp; " " &amp; VLOOKUP(AR41, TP!$W$5:$X$24,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TP!$W$5:$X$24, 2, 0) &amp; ".",
"")</f>
        <v/>
      </c>
      <c r="AT42" s="61" t="str">
        <f>IFERROR(
   'Identitas Siswa'!E41 &amp; " " &amp; LOWER($AT$4) &amp; " " &amp; VLOOKUP(AR42, TP!$W$5:$X$24,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TP!$W$5:$X$24, 2, 0) &amp; ".",
"")</f>
        <v/>
      </c>
      <c r="AT43" s="61" t="str">
        <f>IFERROR(
   'Identitas Siswa'!E42 &amp; " " &amp; LOWER($AT$4) &amp; " " &amp; VLOOKUP(AR43, TP!$W$5:$X$24,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TP!$W$5:$X$24, 2, 0) &amp; ".",
"")</f>
        <v/>
      </c>
      <c r="AT44" s="61" t="str">
        <f>IFERROR(
   'Identitas Siswa'!E43 &amp; " " &amp; LOWER($AT$4) &amp; " " &amp; VLOOKUP(AR44, TP!$W$5:$X$24,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TP!$W$5:$X$24, 2, 0) &amp; ".",
"")</f>
        <v/>
      </c>
      <c r="AT45" s="61" t="str">
        <f>IFERROR(
   'Identitas Siswa'!E44 &amp; " " &amp; LOWER($AT$4) &amp; " " &amp; VLOOKUP(AR45, TP!$W$5:$X$24,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TP!$W$5:$X$24, 2, 0) &amp; ".",
"")</f>
        <v/>
      </c>
      <c r="AT46" s="61" t="str">
        <f>IFERROR(
   'Identitas Siswa'!E45 &amp; " " &amp; LOWER($AT$4) &amp; " " &amp; VLOOKUP(AR46, TP!$W$5:$X$24,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TP!$W$5:$X$24, 2, 0) &amp; ".",
"")</f>
        <v/>
      </c>
      <c r="AT47" s="61" t="str">
        <f>IFERROR(
   'Identitas Siswa'!E46 &amp; " " &amp; LOWER($AT$4) &amp; " " &amp; VLOOKUP(AR47, TP!$W$5:$X$24,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TP!$W$5:$X$24, 2, 0) &amp; ".",
"")</f>
        <v/>
      </c>
      <c r="AT48" s="61" t="str">
        <f>IFERROR(
   'Identitas Siswa'!E47 &amp; " " &amp; LOWER($AT$4) &amp; " " &amp; VLOOKUP(AR48, TP!$W$5:$X$24,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TP!$W$5:$X$24, 2, 0) &amp; ".",
"")</f>
        <v/>
      </c>
      <c r="AT49" s="61" t="str">
        <f>IFERROR(
   'Identitas Siswa'!E48 &amp; " " &amp; LOWER($AT$4) &amp; " " &amp; VLOOKUP(AR49, TP!$W$5:$X$24,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TP!$W$5:$X$24, 2, 0) &amp; ".",
"")</f>
        <v/>
      </c>
      <c r="AT50" s="61" t="str">
        <f>IFERROR(
   'Identitas Siswa'!E49 &amp; " " &amp; LOWER($AT$4) &amp; " " &amp; VLOOKUP(AR50, TP!$W$5:$X$24,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TP!$W$5:$X$24, 2, 0) &amp; ".",
"")</f>
        <v/>
      </c>
      <c r="AT51" s="61" t="str">
        <f>IFERROR(
   'Identitas Siswa'!E50 &amp; " " &amp; LOWER($AT$4) &amp; " " &amp; VLOOKUP(AR51, TP!$W$5:$X$24,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TP!$W$5:$X$24, 2, 0) &amp; ".",
"")</f>
        <v/>
      </c>
      <c r="AT52" s="61" t="str">
        <f>IFERROR(
   'Identitas Siswa'!E51 &amp; " " &amp; LOWER($AT$4) &amp; " " &amp; VLOOKUP(AR52, TP!$W$5:$X$24,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TP!$W$5:$X$24, 2, 0) &amp; ".",
"")</f>
        <v/>
      </c>
      <c r="AT53" s="61" t="str">
        <f>IFERROR(
   'Identitas Siswa'!E52 &amp; " " &amp; LOWER($AT$4) &amp; " " &amp; VLOOKUP(AR53, TP!$W$5:$X$24,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TP!$W$5:$X$24, 2, 0) &amp; ".",
"")</f>
        <v/>
      </c>
      <c r="AT54" s="61" t="str">
        <f>IFERROR(
   'Identitas Siswa'!E53 &amp; " " &amp; LOWER($AT$4) &amp; " " &amp; VLOOKUP(AR54, TP!$W$5:$X$24,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TP!$W$5:$X$24, 2, 0) &amp; ".",
"")</f>
        <v/>
      </c>
      <c r="AT55" s="61" t="str">
        <f>IFERROR(
   'Identitas Siswa'!E54 &amp; " " &amp; LOWER($AT$4) &amp; " " &amp; VLOOKUP(AR55, TP!$W$5:$X$24,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TP!$W$5:$X$24, 2, 0) &amp; ".",
"")</f>
        <v/>
      </c>
      <c r="AT56" s="61" t="str">
        <f>IFERROR(
   'Identitas Siswa'!E55 &amp; " " &amp; LOWER($AT$4) &amp; " " &amp; VLOOKUP(AR56, TP!$W$5:$X$24,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TP!$W$5:$X$24, 2, 0) &amp; ".",
"")</f>
        <v/>
      </c>
      <c r="AT57" s="61" t="str">
        <f>IFERROR(
   'Identitas Siswa'!E56 &amp; " " &amp; LOWER($AT$4) &amp; " " &amp; VLOOKUP(AR57, TP!$W$5:$X$24,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TP!$W$5:$X$24, 2, 0) &amp; ".",
"")</f>
        <v/>
      </c>
      <c r="AT58" s="61" t="str">
        <f>IFERROR(
   'Identitas Siswa'!E57 &amp; " " &amp; LOWER($AT$4) &amp; " " &amp; VLOOKUP(AR58, TP!$W$5:$X$24,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TP!$W$5:$X$24, 2, 0) &amp; ".",
"")</f>
        <v/>
      </c>
      <c r="AT59" s="61" t="str">
        <f>IFERROR(
   'Identitas Siswa'!E58 &amp; " " &amp; LOWER($AT$4) &amp; " " &amp; VLOOKUP(AR59, TP!$W$5:$X$24,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TP!$W$5:$X$24, 2, 0) &amp; ".",
"")</f>
        <v/>
      </c>
      <c r="AT60" s="61" t="str">
        <f>IFERROR(
   'Identitas Siswa'!E59 &amp; " " &amp; LOWER($AT$4) &amp; " " &amp; VLOOKUP(AR60, TP!$W$5:$X$24,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TP!$W$5:$X$24, 2, 0) &amp; ".",
"")</f>
        <v/>
      </c>
      <c r="AT61" s="61" t="str">
        <f>IFERROR(
   'Identitas Siswa'!E60 &amp; " " &amp; LOWER($AT$4) &amp; " " &amp; VLOOKUP(AR61, TP!$W$5:$X$24,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TP!$W$5:$X$24, 2, 0) &amp; ".",
"")</f>
        <v/>
      </c>
      <c r="AT62" s="61" t="str">
        <f>IFERROR(
   'Identitas Siswa'!E61 &amp; " " &amp; LOWER($AT$4) &amp; " " &amp; VLOOKUP(AR62, TP!$W$5:$X$24,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TP!$W$5:$X$24, 2, 0) &amp; ".",
"")</f>
        <v/>
      </c>
      <c r="AT63" s="61" t="str">
        <f>IFERROR(
   'Identitas Siswa'!E62 &amp; " " &amp; LOWER($AT$4) &amp; " " &amp; VLOOKUP(AR63, TP!$W$5:$X$24,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TP!$W$5:$X$24, 2, 0) &amp; ".",
"")</f>
        <v/>
      </c>
      <c r="AT64" s="61" t="str">
        <f>IFERROR(
   'Identitas Siswa'!E63 &amp; " " &amp; LOWER($AT$4) &amp; " " &amp; VLOOKUP(AR64, TP!$W$5:$X$24,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TP!$W$5:$X$24, 2, 0) &amp; ".",
"")</f>
        <v/>
      </c>
      <c r="AT65" s="61" t="str">
        <f>IFERROR(
   'Identitas Siswa'!E64 &amp; " " &amp; LOWER($AT$4) &amp; " " &amp; VLOOKUP(AR65, TP!$W$5:$X$24,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TP!$W$5:$X$24, 2, 0) &amp; ".",
"")</f>
        <v/>
      </c>
      <c r="AT66" s="61" t="str">
        <f>IFERROR(
   'Identitas Siswa'!E65 &amp; " " &amp; LOWER($AT$4) &amp; " " &amp; VLOOKUP(AR66, TP!$W$5:$X$24,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TP!$W$5:$X$24, 2, 0) &amp; ".",
"")</f>
        <v/>
      </c>
      <c r="AT67" s="61" t="str">
        <f>IFERROR(
   'Identitas Siswa'!E66 &amp; " " &amp; LOWER($AT$4) &amp; " " &amp; VLOOKUP(AR67, TP!$W$5:$X$24,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TP!$W$5:$X$24, 2, 0) &amp; ".",
"")</f>
        <v/>
      </c>
      <c r="AT68" s="61" t="str">
        <f>IFERROR(
   'Identitas Siswa'!E67 &amp; " " &amp; LOWER($AT$4) &amp; " " &amp; VLOOKUP(AR68, TP!$W$5:$X$24,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83" priority="32">
      <formula>$C$8=""</formula>
    </cfRule>
  </conditionalFormatting>
  <conditionalFormatting sqref="D9:D68">
    <cfRule type="expression" dxfId="382" priority="31">
      <formula>$D$8=""</formula>
    </cfRule>
  </conditionalFormatting>
  <conditionalFormatting sqref="E9:E68">
    <cfRule type="expression" dxfId="381" priority="30">
      <formula>$E$8=""</formula>
    </cfRule>
  </conditionalFormatting>
  <conditionalFormatting sqref="F9:F68">
    <cfRule type="expression" dxfId="380" priority="29">
      <formula>$F$8=""</formula>
    </cfRule>
  </conditionalFormatting>
  <conditionalFormatting sqref="G9:G68">
    <cfRule type="expression" dxfId="379" priority="28">
      <formula>$G$8=""</formula>
    </cfRule>
  </conditionalFormatting>
  <conditionalFormatting sqref="H9:H68">
    <cfRule type="expression" dxfId="378" priority="27">
      <formula>$H$8=""</formula>
    </cfRule>
  </conditionalFormatting>
  <conditionalFormatting sqref="I9:I68">
    <cfRule type="expression" dxfId="377" priority="26">
      <formula>$I$8=""</formula>
    </cfRule>
  </conditionalFormatting>
  <conditionalFormatting sqref="J9:J68">
    <cfRule type="expression" dxfId="376" priority="25">
      <formula>$J$8=""</formula>
    </cfRule>
  </conditionalFormatting>
  <conditionalFormatting sqref="K9:K68">
    <cfRule type="expression" dxfId="375" priority="24">
      <formula>$K$8=""</formula>
    </cfRule>
  </conditionalFormatting>
  <conditionalFormatting sqref="L9:L68">
    <cfRule type="expression" dxfId="374" priority="23">
      <formula>$L$8=""</formula>
    </cfRule>
  </conditionalFormatting>
  <conditionalFormatting sqref="M9:M68">
    <cfRule type="expression" dxfId="373" priority="22">
      <formula>$M$8=""</formula>
    </cfRule>
  </conditionalFormatting>
  <conditionalFormatting sqref="N9:N68">
    <cfRule type="expression" dxfId="372" priority="21">
      <formula>$N$8=""</formula>
    </cfRule>
  </conditionalFormatting>
  <conditionalFormatting sqref="O9:O68">
    <cfRule type="expression" dxfId="371" priority="20">
      <formula>$O$8=""</formula>
    </cfRule>
  </conditionalFormatting>
  <conditionalFormatting sqref="P9:P68">
    <cfRule type="expression" dxfId="370" priority="19">
      <formula>$P$8=""</formula>
    </cfRule>
  </conditionalFormatting>
  <conditionalFormatting sqref="Q9:Q68">
    <cfRule type="expression" dxfId="369" priority="18">
      <formula>$Q$8=""</formula>
    </cfRule>
  </conditionalFormatting>
  <conditionalFormatting sqref="R9:R68">
    <cfRule type="expression" dxfId="368" priority="17">
      <formula>$R$8=""</formula>
    </cfRule>
  </conditionalFormatting>
  <conditionalFormatting sqref="S9:S68">
    <cfRule type="expression" dxfId="367" priority="16">
      <formula>$S$8=""</formula>
    </cfRule>
  </conditionalFormatting>
  <conditionalFormatting sqref="T9:T68">
    <cfRule type="expression" dxfId="366" priority="15">
      <formula>$T$8=""</formula>
    </cfRule>
  </conditionalFormatting>
  <conditionalFormatting sqref="U9:U68">
    <cfRule type="expression" dxfId="365" priority="14">
      <formula>$U$8=""</formula>
    </cfRule>
  </conditionalFormatting>
  <conditionalFormatting sqref="V9:V68">
    <cfRule type="expression" dxfId="364" priority="13">
      <formula>$V$8=""</formula>
    </cfRule>
  </conditionalFormatting>
  <conditionalFormatting sqref="W9:W68">
    <cfRule type="expression" dxfId="363" priority="12">
      <formula>$W$8=""</formula>
    </cfRule>
  </conditionalFormatting>
  <conditionalFormatting sqref="X9:X68">
    <cfRule type="expression" dxfId="362" priority="11">
      <formula>$X$8=""</formula>
    </cfRule>
  </conditionalFormatting>
  <conditionalFormatting sqref="Y9:Y68">
    <cfRule type="expression" dxfId="361" priority="10">
      <formula>$Y$8=""</formula>
    </cfRule>
  </conditionalFormatting>
  <conditionalFormatting sqref="Z9:Z68">
    <cfRule type="expression" dxfId="360" priority="9">
      <formula>$Z$8=""</formula>
    </cfRule>
  </conditionalFormatting>
  <conditionalFormatting sqref="AA9:AA68">
    <cfRule type="expression" dxfId="359" priority="8">
      <formula>$AA$8=""</formula>
    </cfRule>
  </conditionalFormatting>
  <conditionalFormatting sqref="AB9:AB68">
    <cfRule type="expression" dxfId="358" priority="7">
      <formula>$AB$8=""</formula>
    </cfRule>
  </conditionalFormatting>
  <conditionalFormatting sqref="AC9:AC68">
    <cfRule type="expression" dxfId="357" priority="6">
      <formula>$AC$8=""</formula>
    </cfRule>
  </conditionalFormatting>
  <conditionalFormatting sqref="AD9:AD68">
    <cfRule type="expression" dxfId="356" priority="5">
      <formula>$AD$8=""</formula>
    </cfRule>
  </conditionalFormatting>
  <conditionalFormatting sqref="AE9:AE68">
    <cfRule type="expression" dxfId="355" priority="4">
      <formula>$AE$8=""</formula>
    </cfRule>
  </conditionalFormatting>
  <conditionalFormatting sqref="AF9:AF68">
    <cfRule type="expression" dxfId="354" priority="3">
      <formula>$AF$8=""</formula>
    </cfRule>
  </conditionalFormatting>
  <conditionalFormatting sqref="AG9:AG68">
    <cfRule type="expression" dxfId="353" priority="2">
      <formula>$AG$8=""</formula>
    </cfRule>
  </conditionalFormatting>
  <conditionalFormatting sqref="AH9:AH68">
    <cfRule type="expression" dxfId="35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B42D4-8D90-437E-8AC0-0634493CCD90}">
  <sheetPr codeName="Sheet11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IF(TRANSPOSE(TP!AA5:AA24)="", "", TRANSPOSE(TP!AA5:AA24))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IF(TRANSPOSE(TP!Z5:Z16)="", "", TRANSPOSE(TP!Z5:Z16))</f>
        <v>Mengenal Jenis-Jenis  Suara Manusia,   Bunyi Alat Musik, dan  Bentuk Alat Musik</v>
      </c>
      <c r="X8" s="53" t="str">
        <v>Mengenal Notasi dan Tangga Nada</v>
      </c>
      <c r="Y8" s="54" t="str">
        <v>Ayo Bernyanyi</v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TP!$AA$5:$AB$24, 2, 0) &amp; ".",
"")</f>
        <v>Abhy menunjukkan penguasaan dalam mengenal dan membedakan jenis-jenis range pada suara manusia.</v>
      </c>
      <c r="AT9" s="61" t="str">
        <f>IFERROR(
   'Identitas Siswa'!E8 &amp; " " &amp; LOWER($AT$4) &amp; " " &amp; VLOOKUP(AR9, TP!$AA$5:$AB$24, 2, 0) &amp; ".",
"")</f>
        <v>Abhy perlu bimbingan dalam mengenal dan membedakan jenis-jenis range pada suara manusia.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TP!$AA$5:$AB$24, 2, 0) &amp; ".",
"")</f>
        <v>aku menunjukkan penguasaan dalam mengenal dan membedakan jenis-jenis range pada suara manusia.</v>
      </c>
      <c r="AT10" s="61" t="str">
        <f>IFERROR(
   'Identitas Siswa'!E9 &amp; " " &amp; LOWER($AT$4) &amp; " " &amp; VLOOKUP(AR10, TP!$AA$5:$AB$24, 2, 0) &amp; ".",
"")</f>
        <v>aku perlu bimbingan dalam mengenal dan membedakan jenis-jenis range pada suara manusia.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TP!$AA$5:$AB$24, 2, 0) &amp; ".",
"")</f>
        <v/>
      </c>
      <c r="AT11" s="61" t="str">
        <f>IFERROR(
   'Identitas Siswa'!E10 &amp; " " &amp; LOWER($AT$4) &amp; " " &amp; VLOOKUP(AR11, TP!$AA$5:$AB$24,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TP!$AA$5:$AB$24, 2, 0) &amp; ".",
"")</f>
        <v/>
      </c>
      <c r="AT12" s="61" t="str">
        <f>IFERROR(
   'Identitas Siswa'!E11 &amp; " " &amp; LOWER($AT$4) &amp; " " &amp; VLOOKUP(AR12, TP!$AA$5:$AB$24,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TP!$AA$5:$AB$24, 2, 0) &amp; ".",
"")</f>
        <v/>
      </c>
      <c r="AT13" s="61" t="str">
        <f>IFERROR(
   'Identitas Siswa'!E12 &amp; " " &amp; LOWER($AT$4) &amp; " " &amp; VLOOKUP(AR13, TP!$AA$5:$AB$24,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TP!$AA$5:$AB$24, 2, 0) &amp; ".",
"")</f>
        <v/>
      </c>
      <c r="AT14" s="61" t="str">
        <f>IFERROR(
   'Identitas Siswa'!E13 &amp; " " &amp; LOWER($AT$4) &amp; " " &amp; VLOOKUP(AR14, TP!$AA$5:$AB$24,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TP!$AA$5:$AB$24, 2, 0) &amp; ".",
"")</f>
        <v/>
      </c>
      <c r="AT15" s="61" t="str">
        <f>IFERROR(
   'Identitas Siswa'!E14 &amp; " " &amp; LOWER($AT$4) &amp; " " &amp; VLOOKUP(AR15, TP!$AA$5:$AB$24,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TP!$AA$5:$AB$24, 2, 0) &amp; ".",
"")</f>
        <v/>
      </c>
      <c r="AT16" s="61" t="str">
        <f>IFERROR(
   'Identitas Siswa'!E15 &amp; " " &amp; LOWER($AT$4) &amp; " " &amp; VLOOKUP(AR16, TP!$AA$5:$AB$24,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TP!$AA$5:$AB$24, 2, 0) &amp; ".",
"")</f>
        <v/>
      </c>
      <c r="AT17" s="61" t="str">
        <f>IFERROR(
   'Identitas Siswa'!E16 &amp; " " &amp; LOWER($AT$4) &amp; " " &amp; VLOOKUP(AR17, TP!$AA$5:$AB$24,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TP!$AA$5:$AB$24, 2, 0) &amp; ".",
"")</f>
        <v/>
      </c>
      <c r="AT18" s="61" t="str">
        <f>IFERROR(
   'Identitas Siswa'!E17 &amp; " " &amp; LOWER($AT$4) &amp; " " &amp; VLOOKUP(AR18, TP!$AA$5:$AB$24,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TP!$AA$5:$AB$24, 2, 0) &amp; ".",
"")</f>
        <v/>
      </c>
      <c r="AT19" s="61" t="str">
        <f>IFERROR(
   'Identitas Siswa'!E18 &amp; " " &amp; LOWER($AT$4) &amp; " " &amp; VLOOKUP(AR19, TP!$AA$5:$AB$24,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TP!$AA$5:$AB$24, 2, 0) &amp; ".",
"")</f>
        <v/>
      </c>
      <c r="AT20" s="61" t="str">
        <f>IFERROR(
   'Identitas Siswa'!E19 &amp; " " &amp; LOWER($AT$4) &amp; " " &amp; VLOOKUP(AR20, TP!$AA$5:$AB$24,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TP!$AA$5:$AB$24, 2, 0) &amp; ".",
"")</f>
        <v/>
      </c>
      <c r="AT21" s="61" t="str">
        <f>IFERROR(
   'Identitas Siswa'!E20 &amp; " " &amp; LOWER($AT$4) &amp; " " &amp; VLOOKUP(AR21, TP!$AA$5:$AB$24,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TP!$AA$5:$AB$24, 2, 0) &amp; ".",
"")</f>
        <v/>
      </c>
      <c r="AT22" s="61" t="str">
        <f>IFERROR(
   'Identitas Siswa'!E21 &amp; " " &amp; LOWER($AT$4) &amp; " " &amp; VLOOKUP(AR22, TP!$AA$5:$AB$24,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TP!$AA$5:$AB$24, 2, 0) &amp; ".",
"")</f>
        <v/>
      </c>
      <c r="AT23" s="61" t="str">
        <f>IFERROR(
   'Identitas Siswa'!E22 &amp; " " &amp; LOWER($AT$4) &amp; " " &amp; VLOOKUP(AR23, TP!$AA$5:$AB$24,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TP!$AA$5:$AB$24, 2, 0) &amp; ".",
"")</f>
        <v/>
      </c>
      <c r="AT24" s="61" t="str">
        <f>IFERROR(
   'Identitas Siswa'!E23 &amp; " " &amp; LOWER($AT$4) &amp; " " &amp; VLOOKUP(AR24, TP!$AA$5:$AB$24,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TP!$AA$5:$AB$24, 2, 0) &amp; ".",
"")</f>
        <v/>
      </c>
      <c r="AT25" s="61" t="str">
        <f>IFERROR(
   'Identitas Siswa'!E24 &amp; " " &amp; LOWER($AT$4) &amp; " " &amp; VLOOKUP(AR25, TP!$AA$5:$AB$24,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TP!$AA$5:$AB$24, 2, 0) &amp; ".",
"")</f>
        <v/>
      </c>
      <c r="AT26" s="61" t="str">
        <f>IFERROR(
   'Identitas Siswa'!E25 &amp; " " &amp; LOWER($AT$4) &amp; " " &amp; VLOOKUP(AR26, TP!$AA$5:$AB$24,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TP!$AA$5:$AB$24, 2, 0) &amp; ".",
"")</f>
        <v/>
      </c>
      <c r="AT27" s="61" t="str">
        <f>IFERROR(
   'Identitas Siswa'!E26 &amp; " " &amp; LOWER($AT$4) &amp; " " &amp; VLOOKUP(AR27, TP!$AA$5:$AB$24,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TP!$AA$5:$AB$24, 2, 0) &amp; ".",
"")</f>
        <v/>
      </c>
      <c r="AT28" s="61" t="str">
        <f>IFERROR(
   'Identitas Siswa'!E27 &amp; " " &amp; LOWER($AT$4) &amp; " " &amp; VLOOKUP(AR28, TP!$AA$5:$AB$24,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TP!$AA$5:$AB$24, 2, 0) &amp; ".",
"")</f>
        <v/>
      </c>
      <c r="AT29" s="61" t="str">
        <f>IFERROR(
   'Identitas Siswa'!E28 &amp; " " &amp; LOWER($AT$4) &amp; " " &amp; VLOOKUP(AR29, TP!$AA$5:$AB$24,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TP!$AA$5:$AB$24, 2, 0) &amp; ".",
"")</f>
        <v/>
      </c>
      <c r="AT30" s="61" t="str">
        <f>IFERROR(
   'Identitas Siswa'!E29 &amp; " " &amp; LOWER($AT$4) &amp; " " &amp; VLOOKUP(AR30, TP!$AA$5:$AB$24,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TP!$AA$5:$AB$24, 2, 0) &amp; ".",
"")</f>
        <v/>
      </c>
      <c r="AT31" s="61" t="str">
        <f>IFERROR(
   'Identitas Siswa'!E30 &amp; " " &amp; LOWER($AT$4) &amp; " " &amp; VLOOKUP(AR31, TP!$AA$5:$AB$24,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TP!$AA$5:$AB$24, 2, 0) &amp; ".",
"")</f>
        <v/>
      </c>
      <c r="AT32" s="61" t="str">
        <f>IFERROR(
   'Identitas Siswa'!E31 &amp; " " &amp; LOWER($AT$4) &amp; " " &amp; VLOOKUP(AR32, TP!$AA$5:$AB$24,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TP!$AA$5:$AB$24, 2, 0) &amp; ".",
"")</f>
        <v/>
      </c>
      <c r="AT33" s="61" t="str">
        <f>IFERROR(
   'Identitas Siswa'!E32 &amp; " " &amp; LOWER($AT$4) &amp; " " &amp; VLOOKUP(AR33, TP!$AA$5:$AB$24,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TP!$AA$5:$AB$24, 2, 0) &amp; ".",
"")</f>
        <v/>
      </c>
      <c r="AT34" s="61" t="str">
        <f>IFERROR(
   'Identitas Siswa'!E33 &amp; " " &amp; LOWER($AT$4) &amp; " " &amp; VLOOKUP(AR34, TP!$AA$5:$AB$24,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TP!$AA$5:$AB$24, 2, 0) &amp; ".",
"")</f>
        <v/>
      </c>
      <c r="AT35" s="61" t="str">
        <f>IFERROR(
   'Identitas Siswa'!E34 &amp; " " &amp; LOWER($AT$4) &amp; " " &amp; VLOOKUP(AR35, TP!$AA$5:$AB$24,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TP!$AA$5:$AB$24, 2, 0) &amp; ".",
"")</f>
        <v/>
      </c>
      <c r="AT36" s="61" t="str">
        <f>IFERROR(
   'Identitas Siswa'!E35 &amp; " " &amp; LOWER($AT$4) &amp; " " &amp; VLOOKUP(AR36, TP!$AA$5:$AB$24,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TP!$AA$5:$AB$24, 2, 0) &amp; ".",
"")</f>
        <v/>
      </c>
      <c r="AT37" s="61" t="str">
        <f>IFERROR(
   'Identitas Siswa'!E36 &amp; " " &amp; LOWER($AT$4) &amp; " " &amp; VLOOKUP(AR37, TP!$AA$5:$AB$24,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TP!$AA$5:$AB$24, 2, 0) &amp; ".",
"")</f>
        <v/>
      </c>
      <c r="AT38" s="61" t="str">
        <f>IFERROR(
   'Identitas Siswa'!E37 &amp; " " &amp; LOWER($AT$4) &amp; " " &amp; VLOOKUP(AR38, TP!$AA$5:$AB$24,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TP!$AA$5:$AB$24, 2, 0) &amp; ".",
"")</f>
        <v/>
      </c>
      <c r="AT39" s="61" t="str">
        <f>IFERROR(
   'Identitas Siswa'!E38 &amp; " " &amp; LOWER($AT$4) &amp; " " &amp; VLOOKUP(AR39, TP!$AA$5:$AB$24,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TP!$AA$5:$AB$24, 2, 0) &amp; ".",
"")</f>
        <v/>
      </c>
      <c r="AT40" s="61" t="str">
        <f>IFERROR(
   'Identitas Siswa'!E39 &amp; " " &amp; LOWER($AT$4) &amp; " " &amp; VLOOKUP(AR40, TP!$AA$5:$AB$24,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TP!$AA$5:$AB$24, 2, 0) &amp; ".",
"")</f>
        <v/>
      </c>
      <c r="AT41" s="61" t="str">
        <f>IFERROR(
   'Identitas Siswa'!E40 &amp; " " &amp; LOWER($AT$4) &amp; " " &amp; VLOOKUP(AR41, TP!$AA$5:$AB$24,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TP!$AA$5:$AB$24, 2, 0) &amp; ".",
"")</f>
        <v/>
      </c>
      <c r="AT42" s="61" t="str">
        <f>IFERROR(
   'Identitas Siswa'!E41 &amp; " " &amp; LOWER($AT$4) &amp; " " &amp; VLOOKUP(AR42, TP!$AA$5:$AB$24,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TP!$AA$5:$AB$24, 2, 0) &amp; ".",
"")</f>
        <v/>
      </c>
      <c r="AT43" s="61" t="str">
        <f>IFERROR(
   'Identitas Siswa'!E42 &amp; " " &amp; LOWER($AT$4) &amp; " " &amp; VLOOKUP(AR43, TP!$AA$5:$AB$24,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TP!$AA$5:$AB$24, 2, 0) &amp; ".",
"")</f>
        <v/>
      </c>
      <c r="AT44" s="61" t="str">
        <f>IFERROR(
   'Identitas Siswa'!E43 &amp; " " &amp; LOWER($AT$4) &amp; " " &amp; VLOOKUP(AR44, TP!$AA$5:$AB$24,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TP!$AA$5:$AB$24, 2, 0) &amp; ".",
"")</f>
        <v/>
      </c>
      <c r="AT45" s="61" t="str">
        <f>IFERROR(
   'Identitas Siswa'!E44 &amp; " " &amp; LOWER($AT$4) &amp; " " &amp; VLOOKUP(AR45, TP!$AA$5:$AB$24,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TP!$AA$5:$AB$24, 2, 0) &amp; ".",
"")</f>
        <v/>
      </c>
      <c r="AT46" s="61" t="str">
        <f>IFERROR(
   'Identitas Siswa'!E45 &amp; " " &amp; LOWER($AT$4) &amp; " " &amp; VLOOKUP(AR46, TP!$AA$5:$AB$24,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TP!$AA$5:$AB$24, 2, 0) &amp; ".",
"")</f>
        <v/>
      </c>
      <c r="AT47" s="61" t="str">
        <f>IFERROR(
   'Identitas Siswa'!E46 &amp; " " &amp; LOWER($AT$4) &amp; " " &amp; VLOOKUP(AR47, TP!$AA$5:$AB$24,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TP!$AA$5:$AB$24, 2, 0) &amp; ".",
"")</f>
        <v/>
      </c>
      <c r="AT48" s="61" t="str">
        <f>IFERROR(
   'Identitas Siswa'!E47 &amp; " " &amp; LOWER($AT$4) &amp; " " &amp; VLOOKUP(AR48, TP!$AA$5:$AB$24,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TP!$AA$5:$AB$24, 2, 0) &amp; ".",
"")</f>
        <v/>
      </c>
      <c r="AT49" s="61" t="str">
        <f>IFERROR(
   'Identitas Siswa'!E48 &amp; " " &amp; LOWER($AT$4) &amp; " " &amp; VLOOKUP(AR49, TP!$AA$5:$AB$24,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TP!$AA$5:$AB$24, 2, 0) &amp; ".",
"")</f>
        <v/>
      </c>
      <c r="AT50" s="61" t="str">
        <f>IFERROR(
   'Identitas Siswa'!E49 &amp; " " &amp; LOWER($AT$4) &amp; " " &amp; VLOOKUP(AR50, TP!$AA$5:$AB$24,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TP!$AA$5:$AB$24, 2, 0) &amp; ".",
"")</f>
        <v/>
      </c>
      <c r="AT51" s="61" t="str">
        <f>IFERROR(
   'Identitas Siswa'!E50 &amp; " " &amp; LOWER($AT$4) &amp; " " &amp; VLOOKUP(AR51, TP!$AA$5:$AB$24,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TP!$AA$5:$AB$24, 2, 0) &amp; ".",
"")</f>
        <v/>
      </c>
      <c r="AT52" s="61" t="str">
        <f>IFERROR(
   'Identitas Siswa'!E51 &amp; " " &amp; LOWER($AT$4) &amp; " " &amp; VLOOKUP(AR52, TP!$AA$5:$AB$24,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TP!$AA$5:$AB$24, 2, 0) &amp; ".",
"")</f>
        <v/>
      </c>
      <c r="AT53" s="61" t="str">
        <f>IFERROR(
   'Identitas Siswa'!E52 &amp; " " &amp; LOWER($AT$4) &amp; " " &amp; VLOOKUP(AR53, TP!$AA$5:$AB$24,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TP!$AA$5:$AB$24, 2, 0) &amp; ".",
"")</f>
        <v/>
      </c>
      <c r="AT54" s="61" t="str">
        <f>IFERROR(
   'Identitas Siswa'!E53 &amp; " " &amp; LOWER($AT$4) &amp; " " &amp; VLOOKUP(AR54, TP!$AA$5:$AB$24,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TP!$AA$5:$AB$24, 2, 0) &amp; ".",
"")</f>
        <v/>
      </c>
      <c r="AT55" s="61" t="str">
        <f>IFERROR(
   'Identitas Siswa'!E54 &amp; " " &amp; LOWER($AT$4) &amp; " " &amp; VLOOKUP(AR55, TP!$AA$5:$AB$24,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TP!$AA$5:$AB$24, 2, 0) &amp; ".",
"")</f>
        <v/>
      </c>
      <c r="AT56" s="61" t="str">
        <f>IFERROR(
   'Identitas Siswa'!E55 &amp; " " &amp; LOWER($AT$4) &amp; " " &amp; VLOOKUP(AR56, TP!$AA$5:$AB$24,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TP!$AA$5:$AB$24, 2, 0) &amp; ".",
"")</f>
        <v/>
      </c>
      <c r="AT57" s="61" t="str">
        <f>IFERROR(
   'Identitas Siswa'!E56 &amp; " " &amp; LOWER($AT$4) &amp; " " &amp; VLOOKUP(AR57, TP!$AA$5:$AB$24,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TP!$AA$5:$AB$24, 2, 0) &amp; ".",
"")</f>
        <v/>
      </c>
      <c r="AT58" s="61" t="str">
        <f>IFERROR(
   'Identitas Siswa'!E57 &amp; " " &amp; LOWER($AT$4) &amp; " " &amp; VLOOKUP(AR58, TP!$AA$5:$AB$24,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TP!$AA$5:$AB$24, 2, 0) &amp; ".",
"")</f>
        <v/>
      </c>
      <c r="AT59" s="61" t="str">
        <f>IFERROR(
   'Identitas Siswa'!E58 &amp; " " &amp; LOWER($AT$4) &amp; " " &amp; VLOOKUP(AR59, TP!$AA$5:$AB$24,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TP!$AA$5:$AB$24, 2, 0) &amp; ".",
"")</f>
        <v/>
      </c>
      <c r="AT60" s="61" t="str">
        <f>IFERROR(
   'Identitas Siswa'!E59 &amp; " " &amp; LOWER($AT$4) &amp; " " &amp; VLOOKUP(AR60, TP!$AA$5:$AB$24,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TP!$AA$5:$AB$24, 2, 0) &amp; ".",
"")</f>
        <v/>
      </c>
      <c r="AT61" s="61" t="str">
        <f>IFERROR(
   'Identitas Siswa'!E60 &amp; " " &amp; LOWER($AT$4) &amp; " " &amp; VLOOKUP(AR61, TP!$AA$5:$AB$24,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TP!$AA$5:$AB$24, 2, 0) &amp; ".",
"")</f>
        <v/>
      </c>
      <c r="AT62" s="61" t="str">
        <f>IFERROR(
   'Identitas Siswa'!E61 &amp; " " &amp; LOWER($AT$4) &amp; " " &amp; VLOOKUP(AR62, TP!$AA$5:$AB$24,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TP!$AA$5:$AB$24, 2, 0) &amp; ".",
"")</f>
        <v/>
      </c>
      <c r="AT63" s="61" t="str">
        <f>IFERROR(
   'Identitas Siswa'!E62 &amp; " " &amp; LOWER($AT$4) &amp; " " &amp; VLOOKUP(AR63, TP!$AA$5:$AB$24,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TP!$AA$5:$AB$24, 2, 0) &amp; ".",
"")</f>
        <v/>
      </c>
      <c r="AT64" s="61" t="str">
        <f>IFERROR(
   'Identitas Siswa'!E63 &amp; " " &amp; LOWER($AT$4) &amp; " " &amp; VLOOKUP(AR64, TP!$AA$5:$AB$24,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TP!$AA$5:$AB$24, 2, 0) &amp; ".",
"")</f>
        <v/>
      </c>
      <c r="AT65" s="61" t="str">
        <f>IFERROR(
   'Identitas Siswa'!E64 &amp; " " &amp; LOWER($AT$4) &amp; " " &amp; VLOOKUP(AR65, TP!$AA$5:$AB$24,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TP!$AA$5:$AB$24, 2, 0) &amp; ".",
"")</f>
        <v/>
      </c>
      <c r="AT66" s="61" t="str">
        <f>IFERROR(
   'Identitas Siswa'!E65 &amp; " " &amp; LOWER($AT$4) &amp; " " &amp; VLOOKUP(AR66, TP!$AA$5:$AB$24,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TP!$AA$5:$AB$24, 2, 0) &amp; ".",
"")</f>
        <v/>
      </c>
      <c r="AT67" s="61" t="str">
        <f>IFERROR(
   'Identitas Siswa'!E66 &amp; " " &amp; LOWER($AT$4) &amp; " " &amp; VLOOKUP(AR67, TP!$AA$5:$AB$24,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TP!$AA$5:$AB$24, 2, 0) &amp; ".",
"")</f>
        <v/>
      </c>
      <c r="AT68" s="61" t="str">
        <f>IFERROR(
   'Identitas Siswa'!E67 &amp; " " &amp; LOWER($AT$4) &amp; " " &amp; VLOOKUP(AR68, TP!$AA$5:$AB$24,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51" priority="32">
      <formula>$C$8=""</formula>
    </cfRule>
  </conditionalFormatting>
  <conditionalFormatting sqref="D9:D68">
    <cfRule type="expression" dxfId="350" priority="31">
      <formula>$D$8=""</formula>
    </cfRule>
  </conditionalFormatting>
  <conditionalFormatting sqref="E9:E68">
    <cfRule type="expression" dxfId="349" priority="30">
      <formula>$E$8=""</formula>
    </cfRule>
  </conditionalFormatting>
  <conditionalFormatting sqref="F9:F68">
    <cfRule type="expression" dxfId="348" priority="29">
      <formula>$F$8=""</formula>
    </cfRule>
  </conditionalFormatting>
  <conditionalFormatting sqref="G9:G68">
    <cfRule type="expression" dxfId="347" priority="28">
      <formula>$G$8=""</formula>
    </cfRule>
  </conditionalFormatting>
  <conditionalFormatting sqref="H9:H68">
    <cfRule type="expression" dxfId="346" priority="27">
      <formula>$H$8=""</formula>
    </cfRule>
  </conditionalFormatting>
  <conditionalFormatting sqref="I9:I68">
    <cfRule type="expression" dxfId="345" priority="26">
      <formula>$I$8=""</formula>
    </cfRule>
  </conditionalFormatting>
  <conditionalFormatting sqref="J9:J68">
    <cfRule type="expression" dxfId="344" priority="25">
      <formula>$J$8=""</formula>
    </cfRule>
  </conditionalFormatting>
  <conditionalFormatting sqref="K9:K68">
    <cfRule type="expression" dxfId="343" priority="24">
      <formula>$K$8=""</formula>
    </cfRule>
  </conditionalFormatting>
  <conditionalFormatting sqref="L9:L68">
    <cfRule type="expression" dxfId="342" priority="23">
      <formula>$L$8=""</formula>
    </cfRule>
  </conditionalFormatting>
  <conditionalFormatting sqref="M9:M68">
    <cfRule type="expression" dxfId="341" priority="22">
      <formula>$M$8=""</formula>
    </cfRule>
  </conditionalFormatting>
  <conditionalFormatting sqref="N9:N68">
    <cfRule type="expression" dxfId="340" priority="21">
      <formula>$N$8=""</formula>
    </cfRule>
  </conditionalFormatting>
  <conditionalFormatting sqref="O9:O68">
    <cfRule type="expression" dxfId="339" priority="20">
      <formula>$O$8=""</formula>
    </cfRule>
  </conditionalFormatting>
  <conditionalFormatting sqref="P9:P68">
    <cfRule type="expression" dxfId="338" priority="19">
      <formula>$P$8=""</formula>
    </cfRule>
  </conditionalFormatting>
  <conditionalFormatting sqref="Q9:Q68">
    <cfRule type="expression" dxfId="337" priority="18">
      <formula>$Q$8=""</formula>
    </cfRule>
  </conditionalFormatting>
  <conditionalFormatting sqref="R9:R68">
    <cfRule type="expression" dxfId="336" priority="17">
      <formula>$R$8=""</formula>
    </cfRule>
  </conditionalFormatting>
  <conditionalFormatting sqref="S9:S68">
    <cfRule type="expression" dxfId="335" priority="16">
      <formula>$S$8=""</formula>
    </cfRule>
  </conditionalFormatting>
  <conditionalFormatting sqref="T9:T68">
    <cfRule type="expression" dxfId="334" priority="15">
      <formula>$T$8=""</formula>
    </cfRule>
  </conditionalFormatting>
  <conditionalFormatting sqref="U9:U68">
    <cfRule type="expression" dxfId="333" priority="14">
      <formula>$U$8=""</formula>
    </cfRule>
  </conditionalFormatting>
  <conditionalFormatting sqref="V9:V68">
    <cfRule type="expression" dxfId="332" priority="13">
      <formula>$V$8=""</formula>
    </cfRule>
  </conditionalFormatting>
  <conditionalFormatting sqref="W9:W68">
    <cfRule type="expression" dxfId="331" priority="12">
      <formula>$W$8=""</formula>
    </cfRule>
  </conditionalFormatting>
  <conditionalFormatting sqref="X9:X68">
    <cfRule type="expression" dxfId="330" priority="11">
      <formula>$X$8=""</formula>
    </cfRule>
  </conditionalFormatting>
  <conditionalFormatting sqref="Y9:Y68">
    <cfRule type="expression" dxfId="329" priority="10">
      <formula>$Y$8=""</formula>
    </cfRule>
  </conditionalFormatting>
  <conditionalFormatting sqref="Z9:Z68">
    <cfRule type="expression" dxfId="328" priority="9">
      <formula>$Z$8=""</formula>
    </cfRule>
  </conditionalFormatting>
  <conditionalFormatting sqref="AA9:AA68">
    <cfRule type="expression" dxfId="327" priority="8">
      <formula>$AA$8=""</formula>
    </cfRule>
  </conditionalFormatting>
  <conditionalFormatting sqref="AB9:AB68">
    <cfRule type="expression" dxfId="326" priority="7">
      <formula>$AB$8=""</formula>
    </cfRule>
  </conditionalFormatting>
  <conditionalFormatting sqref="AC9:AC68">
    <cfRule type="expression" dxfId="325" priority="6">
      <formula>$AC$8=""</formula>
    </cfRule>
  </conditionalFormatting>
  <conditionalFormatting sqref="AD9:AD68">
    <cfRule type="expression" dxfId="324" priority="5">
      <formula>$AD$8=""</formula>
    </cfRule>
  </conditionalFormatting>
  <conditionalFormatting sqref="AE9:AE68">
    <cfRule type="expression" dxfId="323" priority="4">
      <formula>$AE$8=""</formula>
    </cfRule>
  </conditionalFormatting>
  <conditionalFormatting sqref="AF9:AF68">
    <cfRule type="expression" dxfId="322" priority="3">
      <formula>$AF$8=""</formula>
    </cfRule>
  </conditionalFormatting>
  <conditionalFormatting sqref="AG9:AG68">
    <cfRule type="expression" dxfId="321" priority="2">
      <formula>$AG$8=""</formula>
    </cfRule>
  </conditionalFormatting>
  <conditionalFormatting sqref="AH9:AH68">
    <cfRule type="expression" dxfId="32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89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146E6-052B-483C-AA66-279309F6035A}">
  <sheetPr codeName="Sheet12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IF(TRANSPOSE(TP!AE5:AE24)="", "", TRANSPOSE(TP!AE5:AE24))</f>
        <v>TP 1</v>
      </c>
      <c r="D8" s="52" t="str">
        <v>TP 2</v>
      </c>
      <c r="E8" s="52" t="str">
        <v/>
      </c>
      <c r="F8" s="52" t="str">
        <v/>
      </c>
      <c r="G8" s="52" t="str">
        <v/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IF(TRANSPOSE(TP!AD5:AD16)="", "", TRANSPOSE(TP!AD5:AD16))</f>
        <v>KEBERAGAMAN UNSUR PENDUKUNG TARI</v>
      </c>
      <c r="X8" s="53" t="str">
        <v>DESAIN KELOMPOK DALAM TARI TRADISI</v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TP!$AE$5:$AF$24, 2, 0) &amp; ".",
"")</f>
        <v>Abhy menunjukkan penguasaan dalam membedakan fungsi unsur pendukung tari yaitu, musik, properti, tata rias, dan tata busana.</v>
      </c>
      <c r="AT9" s="61" t="str">
        <f>IFERROR(
   'Identitas Siswa'!E8 &amp; " " &amp; LOWER($AT$4) &amp; " " &amp; VLOOKUP(AR9, TP!$AE$5:$AF$24, 2, 0) &amp; ".",
"")</f>
        <v>Abhy perlu bimbingan dalam membedakan fungsi unsur pendukung tari yaitu, musik, properti, tata rias, dan tata busana.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36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TP!$AE$5:$AF$24, 2, 0) &amp; ".",
"")</f>
        <v>aku menunjukkan penguasaan dalam membedakan fungsi unsur pendukung tari yaitu, musik, properti, tata rias, dan tata busana.</v>
      </c>
      <c r="AT10" s="61" t="str">
        <f>IFERROR(
   'Identitas Siswa'!E9 &amp; " " &amp; LOWER($AT$4) &amp; " " &amp; VLOOKUP(AR10, TP!$AE$5:$AF$24, 2, 0) &amp; ".",
"")</f>
        <v>aku perlu bimbingan dalam membedakan fungsi unsur pendukung tari yaitu, musik, properti, tata rias, dan tata busana.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TP!$AE$5:$AF$24, 2, 0) &amp; ".",
"")</f>
        <v/>
      </c>
      <c r="AT11" s="61" t="str">
        <f>IFERROR(
   'Identitas Siswa'!E10 &amp; " " &amp; LOWER($AT$4) &amp; " " &amp; VLOOKUP(AR11, TP!$AE$5:$AF$24,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TP!$AE$5:$AF$24, 2, 0) &amp; ".",
"")</f>
        <v/>
      </c>
      <c r="AT12" s="61" t="str">
        <f>IFERROR(
   'Identitas Siswa'!E11 &amp; " " &amp; LOWER($AT$4) &amp; " " &amp; VLOOKUP(AR12, TP!$AE$5:$AF$24,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TP!$AE$5:$AF$24, 2, 0) &amp; ".",
"")</f>
        <v/>
      </c>
      <c r="AT13" s="61" t="str">
        <f>IFERROR(
   'Identitas Siswa'!E12 &amp; " " &amp; LOWER($AT$4) &amp; " " &amp; VLOOKUP(AR13, TP!$AE$5:$AF$24,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TP!$AE$5:$AF$24, 2, 0) &amp; ".",
"")</f>
        <v/>
      </c>
      <c r="AT14" s="61" t="str">
        <f>IFERROR(
   'Identitas Siswa'!E13 &amp; " " &amp; LOWER($AT$4) &amp; " " &amp; VLOOKUP(AR14, TP!$AE$5:$AF$24,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TP!$AE$5:$AF$24, 2, 0) &amp; ".",
"")</f>
        <v/>
      </c>
      <c r="AT15" s="61" t="str">
        <f>IFERROR(
   'Identitas Siswa'!E14 &amp; " " &amp; LOWER($AT$4) &amp; " " &amp; VLOOKUP(AR15, TP!$AE$5:$AF$24,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TP!$AE$5:$AF$24, 2, 0) &amp; ".",
"")</f>
        <v/>
      </c>
      <c r="AT16" s="61" t="str">
        <f>IFERROR(
   'Identitas Siswa'!E15 &amp; " " &amp; LOWER($AT$4) &amp; " " &amp; VLOOKUP(AR16, TP!$AE$5:$AF$24,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TP!$AE$5:$AF$24, 2, 0) &amp; ".",
"")</f>
        <v/>
      </c>
      <c r="AT17" s="61" t="str">
        <f>IFERROR(
   'Identitas Siswa'!E16 &amp; " " &amp; LOWER($AT$4) &amp; " " &amp; VLOOKUP(AR17, TP!$AE$5:$AF$24,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TP!$AE$5:$AF$24, 2, 0) &amp; ".",
"")</f>
        <v/>
      </c>
      <c r="AT18" s="61" t="str">
        <f>IFERROR(
   'Identitas Siswa'!E17 &amp; " " &amp; LOWER($AT$4) &amp; " " &amp; VLOOKUP(AR18, TP!$AE$5:$AF$24,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TP!$AE$5:$AF$24, 2, 0) &amp; ".",
"")</f>
        <v/>
      </c>
      <c r="AT19" s="61" t="str">
        <f>IFERROR(
   'Identitas Siswa'!E18 &amp; " " &amp; LOWER($AT$4) &amp; " " &amp; VLOOKUP(AR19, TP!$AE$5:$AF$24,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TP!$AE$5:$AF$24, 2, 0) &amp; ".",
"")</f>
        <v/>
      </c>
      <c r="AT20" s="61" t="str">
        <f>IFERROR(
   'Identitas Siswa'!E19 &amp; " " &amp; LOWER($AT$4) &amp; " " &amp; VLOOKUP(AR20, TP!$AE$5:$AF$24,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TP!$AE$5:$AF$24, 2, 0) &amp; ".",
"")</f>
        <v/>
      </c>
      <c r="AT21" s="61" t="str">
        <f>IFERROR(
   'Identitas Siswa'!E20 &amp; " " &amp; LOWER($AT$4) &amp; " " &amp; VLOOKUP(AR21, TP!$AE$5:$AF$24,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TP!$AE$5:$AF$24, 2, 0) &amp; ".",
"")</f>
        <v/>
      </c>
      <c r="AT22" s="61" t="str">
        <f>IFERROR(
   'Identitas Siswa'!E21 &amp; " " &amp; LOWER($AT$4) &amp; " " &amp; VLOOKUP(AR22, TP!$AE$5:$AF$24,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TP!$AE$5:$AF$24, 2, 0) &amp; ".",
"")</f>
        <v/>
      </c>
      <c r="AT23" s="61" t="str">
        <f>IFERROR(
   'Identitas Siswa'!E22 &amp; " " &amp; LOWER($AT$4) &amp; " " &amp; VLOOKUP(AR23, TP!$AE$5:$AF$24,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TP!$AE$5:$AF$24, 2, 0) &amp; ".",
"")</f>
        <v/>
      </c>
      <c r="AT24" s="61" t="str">
        <f>IFERROR(
   'Identitas Siswa'!E23 &amp; " " &amp; LOWER($AT$4) &amp; " " &amp; VLOOKUP(AR24, TP!$AE$5:$AF$24,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TP!$AE$5:$AF$24, 2, 0) &amp; ".",
"")</f>
        <v/>
      </c>
      <c r="AT25" s="61" t="str">
        <f>IFERROR(
   'Identitas Siswa'!E24 &amp; " " &amp; LOWER($AT$4) &amp; " " &amp; VLOOKUP(AR25, TP!$AE$5:$AF$24,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TP!$AE$5:$AF$24, 2, 0) &amp; ".",
"")</f>
        <v/>
      </c>
      <c r="AT26" s="61" t="str">
        <f>IFERROR(
   'Identitas Siswa'!E25 &amp; " " &amp; LOWER($AT$4) &amp; " " &amp; VLOOKUP(AR26, TP!$AE$5:$AF$24,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TP!$AE$5:$AF$24, 2, 0) &amp; ".",
"")</f>
        <v/>
      </c>
      <c r="AT27" s="61" t="str">
        <f>IFERROR(
   'Identitas Siswa'!E26 &amp; " " &amp; LOWER($AT$4) &amp; " " &amp; VLOOKUP(AR27, TP!$AE$5:$AF$24,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TP!$AE$5:$AF$24, 2, 0) &amp; ".",
"")</f>
        <v/>
      </c>
      <c r="AT28" s="61" t="str">
        <f>IFERROR(
   'Identitas Siswa'!E27 &amp; " " &amp; LOWER($AT$4) &amp; " " &amp; VLOOKUP(AR28, TP!$AE$5:$AF$24,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TP!$AE$5:$AF$24, 2, 0) &amp; ".",
"")</f>
        <v/>
      </c>
      <c r="AT29" s="61" t="str">
        <f>IFERROR(
   'Identitas Siswa'!E28 &amp; " " &amp; LOWER($AT$4) &amp; " " &amp; VLOOKUP(AR29, TP!$AE$5:$AF$24,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TP!$AE$5:$AF$24, 2, 0) &amp; ".",
"")</f>
        <v/>
      </c>
      <c r="AT30" s="61" t="str">
        <f>IFERROR(
   'Identitas Siswa'!E29 &amp; " " &amp; LOWER($AT$4) &amp; " " &amp; VLOOKUP(AR30, TP!$AE$5:$AF$24,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TP!$AE$5:$AF$24, 2, 0) &amp; ".",
"")</f>
        <v/>
      </c>
      <c r="AT31" s="61" t="str">
        <f>IFERROR(
   'Identitas Siswa'!E30 &amp; " " &amp; LOWER($AT$4) &amp; " " &amp; VLOOKUP(AR31, TP!$AE$5:$AF$24,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TP!$AE$5:$AF$24, 2, 0) &amp; ".",
"")</f>
        <v/>
      </c>
      <c r="AT32" s="61" t="str">
        <f>IFERROR(
   'Identitas Siswa'!E31 &amp; " " &amp; LOWER($AT$4) &amp; " " &amp; VLOOKUP(AR32, TP!$AE$5:$AF$24,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TP!$AE$5:$AF$24, 2, 0) &amp; ".",
"")</f>
        <v/>
      </c>
      <c r="AT33" s="61" t="str">
        <f>IFERROR(
   'Identitas Siswa'!E32 &amp; " " &amp; LOWER($AT$4) &amp; " " &amp; VLOOKUP(AR33, TP!$AE$5:$AF$24,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TP!$AE$5:$AF$24, 2, 0) &amp; ".",
"")</f>
        <v/>
      </c>
      <c r="AT34" s="61" t="str">
        <f>IFERROR(
   'Identitas Siswa'!E33 &amp; " " &amp; LOWER($AT$4) &amp; " " &amp; VLOOKUP(AR34, TP!$AE$5:$AF$24,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TP!$AE$5:$AF$24, 2, 0) &amp; ".",
"")</f>
        <v/>
      </c>
      <c r="AT35" s="61" t="str">
        <f>IFERROR(
   'Identitas Siswa'!E34 &amp; " " &amp; LOWER($AT$4) &amp; " " &amp; VLOOKUP(AR35, TP!$AE$5:$AF$24,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TP!$AE$5:$AF$24, 2, 0) &amp; ".",
"")</f>
        <v/>
      </c>
      <c r="AT36" s="61" t="str">
        <f>IFERROR(
   'Identitas Siswa'!E35 &amp; " " &amp; LOWER($AT$4) &amp; " " &amp; VLOOKUP(AR36, TP!$AE$5:$AF$24,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TP!$AE$5:$AF$24, 2, 0) &amp; ".",
"")</f>
        <v/>
      </c>
      <c r="AT37" s="61" t="str">
        <f>IFERROR(
   'Identitas Siswa'!E36 &amp; " " &amp; LOWER($AT$4) &amp; " " &amp; VLOOKUP(AR37, TP!$AE$5:$AF$24,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TP!$AE$5:$AF$24, 2, 0) &amp; ".",
"")</f>
        <v/>
      </c>
      <c r="AT38" s="61" t="str">
        <f>IFERROR(
   'Identitas Siswa'!E37 &amp; " " &amp; LOWER($AT$4) &amp; " " &amp; VLOOKUP(AR38, TP!$AE$5:$AF$24,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TP!$AE$5:$AF$24, 2, 0) &amp; ".",
"")</f>
        <v/>
      </c>
      <c r="AT39" s="61" t="str">
        <f>IFERROR(
   'Identitas Siswa'!E38 &amp; " " &amp; LOWER($AT$4) &amp; " " &amp; VLOOKUP(AR39, TP!$AE$5:$AF$24,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TP!$AE$5:$AF$24, 2, 0) &amp; ".",
"")</f>
        <v/>
      </c>
      <c r="AT40" s="61" t="str">
        <f>IFERROR(
   'Identitas Siswa'!E39 &amp; " " &amp; LOWER($AT$4) &amp; " " &amp; VLOOKUP(AR40, TP!$AE$5:$AF$24,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TP!$AE$5:$AF$24, 2, 0) &amp; ".",
"")</f>
        <v/>
      </c>
      <c r="AT41" s="61" t="str">
        <f>IFERROR(
   'Identitas Siswa'!E40 &amp; " " &amp; LOWER($AT$4) &amp; " " &amp; VLOOKUP(AR41, TP!$AE$5:$AF$24,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TP!$AE$5:$AF$24, 2, 0) &amp; ".",
"")</f>
        <v/>
      </c>
      <c r="AT42" s="61" t="str">
        <f>IFERROR(
   'Identitas Siswa'!E41 &amp; " " &amp; LOWER($AT$4) &amp; " " &amp; VLOOKUP(AR42, TP!$AE$5:$AF$24,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TP!$AE$5:$AF$24, 2, 0) &amp; ".",
"")</f>
        <v/>
      </c>
      <c r="AT43" s="61" t="str">
        <f>IFERROR(
   'Identitas Siswa'!E42 &amp; " " &amp; LOWER($AT$4) &amp; " " &amp; VLOOKUP(AR43, TP!$AE$5:$AF$24,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TP!$AE$5:$AF$24, 2, 0) &amp; ".",
"")</f>
        <v/>
      </c>
      <c r="AT44" s="61" t="str">
        <f>IFERROR(
   'Identitas Siswa'!E43 &amp; " " &amp; LOWER($AT$4) &amp; " " &amp; VLOOKUP(AR44, TP!$AE$5:$AF$24,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TP!$AE$5:$AF$24, 2, 0) &amp; ".",
"")</f>
        <v/>
      </c>
      <c r="AT45" s="61" t="str">
        <f>IFERROR(
   'Identitas Siswa'!E44 &amp; " " &amp; LOWER($AT$4) &amp; " " &amp; VLOOKUP(AR45, TP!$AE$5:$AF$24,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TP!$AE$5:$AF$24, 2, 0) &amp; ".",
"")</f>
        <v/>
      </c>
      <c r="AT46" s="61" t="str">
        <f>IFERROR(
   'Identitas Siswa'!E45 &amp; " " &amp; LOWER($AT$4) &amp; " " &amp; VLOOKUP(AR46, TP!$AE$5:$AF$24,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TP!$AE$5:$AF$24, 2, 0) &amp; ".",
"")</f>
        <v/>
      </c>
      <c r="AT47" s="61" t="str">
        <f>IFERROR(
   'Identitas Siswa'!E46 &amp; " " &amp; LOWER($AT$4) &amp; " " &amp; VLOOKUP(AR47, TP!$AE$5:$AF$24,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TP!$AE$5:$AF$24, 2, 0) &amp; ".",
"")</f>
        <v/>
      </c>
      <c r="AT48" s="61" t="str">
        <f>IFERROR(
   'Identitas Siswa'!E47 &amp; " " &amp; LOWER($AT$4) &amp; " " &amp; VLOOKUP(AR48, TP!$AE$5:$AF$24,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TP!$AE$5:$AF$24, 2, 0) &amp; ".",
"")</f>
        <v/>
      </c>
      <c r="AT49" s="61" t="str">
        <f>IFERROR(
   'Identitas Siswa'!E48 &amp; " " &amp; LOWER($AT$4) &amp; " " &amp; VLOOKUP(AR49, TP!$AE$5:$AF$24,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TP!$AE$5:$AF$24, 2, 0) &amp; ".",
"")</f>
        <v/>
      </c>
      <c r="AT50" s="61" t="str">
        <f>IFERROR(
   'Identitas Siswa'!E49 &amp; " " &amp; LOWER($AT$4) &amp; " " &amp; VLOOKUP(AR50, TP!$AE$5:$AF$24,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TP!$AE$5:$AF$24, 2, 0) &amp; ".",
"")</f>
        <v/>
      </c>
      <c r="AT51" s="61" t="str">
        <f>IFERROR(
   'Identitas Siswa'!E50 &amp; " " &amp; LOWER($AT$4) &amp; " " &amp; VLOOKUP(AR51, TP!$AE$5:$AF$24,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TP!$AE$5:$AF$24, 2, 0) &amp; ".",
"")</f>
        <v/>
      </c>
      <c r="AT52" s="61" t="str">
        <f>IFERROR(
   'Identitas Siswa'!E51 &amp; " " &amp; LOWER($AT$4) &amp; " " &amp; VLOOKUP(AR52, TP!$AE$5:$AF$24,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TP!$AE$5:$AF$24, 2, 0) &amp; ".",
"")</f>
        <v/>
      </c>
      <c r="AT53" s="61" t="str">
        <f>IFERROR(
   'Identitas Siswa'!E52 &amp; " " &amp; LOWER($AT$4) &amp; " " &amp; VLOOKUP(AR53, TP!$AE$5:$AF$24,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TP!$AE$5:$AF$24, 2, 0) &amp; ".",
"")</f>
        <v/>
      </c>
      <c r="AT54" s="61" t="str">
        <f>IFERROR(
   'Identitas Siswa'!E53 &amp; " " &amp; LOWER($AT$4) &amp; " " &amp; VLOOKUP(AR54, TP!$AE$5:$AF$24,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TP!$AE$5:$AF$24, 2, 0) &amp; ".",
"")</f>
        <v/>
      </c>
      <c r="AT55" s="61" t="str">
        <f>IFERROR(
   'Identitas Siswa'!E54 &amp; " " &amp; LOWER($AT$4) &amp; " " &amp; VLOOKUP(AR55, TP!$AE$5:$AF$24,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TP!$AE$5:$AF$24, 2, 0) &amp; ".",
"")</f>
        <v/>
      </c>
      <c r="AT56" s="61" t="str">
        <f>IFERROR(
   'Identitas Siswa'!E55 &amp; " " &amp; LOWER($AT$4) &amp; " " &amp; VLOOKUP(AR56, TP!$AE$5:$AF$24,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TP!$AE$5:$AF$24, 2, 0) &amp; ".",
"")</f>
        <v/>
      </c>
      <c r="AT57" s="61" t="str">
        <f>IFERROR(
   'Identitas Siswa'!E56 &amp; " " &amp; LOWER($AT$4) &amp; " " &amp; VLOOKUP(AR57, TP!$AE$5:$AF$24,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TP!$AE$5:$AF$24, 2, 0) &amp; ".",
"")</f>
        <v/>
      </c>
      <c r="AT58" s="61" t="str">
        <f>IFERROR(
   'Identitas Siswa'!E57 &amp; " " &amp; LOWER($AT$4) &amp; " " &amp; VLOOKUP(AR58, TP!$AE$5:$AF$24,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TP!$AE$5:$AF$24, 2, 0) &amp; ".",
"")</f>
        <v/>
      </c>
      <c r="AT59" s="61" t="str">
        <f>IFERROR(
   'Identitas Siswa'!E58 &amp; " " &amp; LOWER($AT$4) &amp; " " &amp; VLOOKUP(AR59, TP!$AE$5:$AF$24,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TP!$AE$5:$AF$24, 2, 0) &amp; ".",
"")</f>
        <v/>
      </c>
      <c r="AT60" s="61" t="str">
        <f>IFERROR(
   'Identitas Siswa'!E59 &amp; " " &amp; LOWER($AT$4) &amp; " " &amp; VLOOKUP(AR60, TP!$AE$5:$AF$24,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TP!$AE$5:$AF$24, 2, 0) &amp; ".",
"")</f>
        <v/>
      </c>
      <c r="AT61" s="61" t="str">
        <f>IFERROR(
   'Identitas Siswa'!E60 &amp; " " &amp; LOWER($AT$4) &amp; " " &amp; VLOOKUP(AR61, TP!$AE$5:$AF$24,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TP!$AE$5:$AF$24, 2, 0) &amp; ".",
"")</f>
        <v/>
      </c>
      <c r="AT62" s="61" t="str">
        <f>IFERROR(
   'Identitas Siswa'!E61 &amp; " " &amp; LOWER($AT$4) &amp; " " &amp; VLOOKUP(AR62, TP!$AE$5:$AF$24,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TP!$AE$5:$AF$24, 2, 0) &amp; ".",
"")</f>
        <v/>
      </c>
      <c r="AT63" s="61" t="str">
        <f>IFERROR(
   'Identitas Siswa'!E62 &amp; " " &amp; LOWER($AT$4) &amp; " " &amp; VLOOKUP(AR63, TP!$AE$5:$AF$24,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TP!$AE$5:$AF$24, 2, 0) &amp; ".",
"")</f>
        <v/>
      </c>
      <c r="AT64" s="61" t="str">
        <f>IFERROR(
   'Identitas Siswa'!E63 &amp; " " &amp; LOWER($AT$4) &amp; " " &amp; VLOOKUP(AR64, TP!$AE$5:$AF$24,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TP!$AE$5:$AF$24, 2, 0) &amp; ".",
"")</f>
        <v/>
      </c>
      <c r="AT65" s="61" t="str">
        <f>IFERROR(
   'Identitas Siswa'!E64 &amp; " " &amp; LOWER($AT$4) &amp; " " &amp; VLOOKUP(AR65, TP!$AE$5:$AF$24,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TP!$AE$5:$AF$24, 2, 0) &amp; ".",
"")</f>
        <v/>
      </c>
      <c r="AT66" s="61" t="str">
        <f>IFERROR(
   'Identitas Siswa'!E65 &amp; " " &amp; LOWER($AT$4) &amp; " " &amp; VLOOKUP(AR66, TP!$AE$5:$AF$24,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TP!$AE$5:$AF$24, 2, 0) &amp; ".",
"")</f>
        <v/>
      </c>
      <c r="AT67" s="61" t="str">
        <f>IFERROR(
   'Identitas Siswa'!E66 &amp; " " &amp; LOWER($AT$4) &amp; " " &amp; VLOOKUP(AR67, TP!$AE$5:$AF$24,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TP!$AE$5:$AF$24, 2, 0) &amp; ".",
"")</f>
        <v/>
      </c>
      <c r="AT68" s="61" t="str">
        <f>IFERROR(
   'Identitas Siswa'!E67 &amp; " " &amp; LOWER($AT$4) &amp; " " &amp; VLOOKUP(AR68, TP!$AE$5:$AF$24,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19" priority="32">
      <formula>$C$8=""</formula>
    </cfRule>
  </conditionalFormatting>
  <conditionalFormatting sqref="D9:D68">
    <cfRule type="expression" dxfId="318" priority="31">
      <formula>$D$8=""</formula>
    </cfRule>
  </conditionalFormatting>
  <conditionalFormatting sqref="E9:E68">
    <cfRule type="expression" dxfId="317" priority="30">
      <formula>$E$8=""</formula>
    </cfRule>
  </conditionalFormatting>
  <conditionalFormatting sqref="F9:F68">
    <cfRule type="expression" dxfId="316" priority="29">
      <formula>$F$8=""</formula>
    </cfRule>
  </conditionalFormatting>
  <conditionalFormatting sqref="G9:G68">
    <cfRule type="expression" dxfId="315" priority="28">
      <formula>$G$8=""</formula>
    </cfRule>
  </conditionalFormatting>
  <conditionalFormatting sqref="H9:H68">
    <cfRule type="expression" dxfId="314" priority="27">
      <formula>$H$8=""</formula>
    </cfRule>
  </conditionalFormatting>
  <conditionalFormatting sqref="I9:I68">
    <cfRule type="expression" dxfId="313" priority="26">
      <formula>$I$8=""</formula>
    </cfRule>
  </conditionalFormatting>
  <conditionalFormatting sqref="J9:J68">
    <cfRule type="expression" dxfId="312" priority="25">
      <formula>$J$8=""</formula>
    </cfRule>
  </conditionalFormatting>
  <conditionalFormatting sqref="K9:K68">
    <cfRule type="expression" dxfId="311" priority="24">
      <formula>$K$8=""</formula>
    </cfRule>
  </conditionalFormatting>
  <conditionalFormatting sqref="L9:L68">
    <cfRule type="expression" dxfId="310" priority="23">
      <formula>$L$8=""</formula>
    </cfRule>
  </conditionalFormatting>
  <conditionalFormatting sqref="M9:M68">
    <cfRule type="expression" dxfId="309" priority="22">
      <formula>$M$8=""</formula>
    </cfRule>
  </conditionalFormatting>
  <conditionalFormatting sqref="N9:N68">
    <cfRule type="expression" dxfId="308" priority="21">
      <formula>$N$8=""</formula>
    </cfRule>
  </conditionalFormatting>
  <conditionalFormatting sqref="O9:O68">
    <cfRule type="expression" dxfId="307" priority="20">
      <formula>$O$8=""</formula>
    </cfRule>
  </conditionalFormatting>
  <conditionalFormatting sqref="P9:P68">
    <cfRule type="expression" dxfId="306" priority="19">
      <formula>$P$8=""</formula>
    </cfRule>
  </conditionalFormatting>
  <conditionalFormatting sqref="Q9:Q68">
    <cfRule type="expression" dxfId="305" priority="18">
      <formula>$Q$8=""</formula>
    </cfRule>
  </conditionalFormatting>
  <conditionalFormatting sqref="R9:R68">
    <cfRule type="expression" dxfId="304" priority="17">
      <formula>$R$8=""</formula>
    </cfRule>
  </conditionalFormatting>
  <conditionalFormatting sqref="S9:S68">
    <cfRule type="expression" dxfId="303" priority="16">
      <formula>$S$8=""</formula>
    </cfRule>
  </conditionalFormatting>
  <conditionalFormatting sqref="T9:T68">
    <cfRule type="expression" dxfId="302" priority="15">
      <formula>$T$8=""</formula>
    </cfRule>
  </conditionalFormatting>
  <conditionalFormatting sqref="U9:U68">
    <cfRule type="expression" dxfId="301" priority="14">
      <formula>$U$8=""</formula>
    </cfRule>
  </conditionalFormatting>
  <conditionalFormatting sqref="V9:V68">
    <cfRule type="expression" dxfId="300" priority="13">
      <formula>$V$8=""</formula>
    </cfRule>
  </conditionalFormatting>
  <conditionalFormatting sqref="W9:W68">
    <cfRule type="expression" dxfId="299" priority="12">
      <formula>$W$8=""</formula>
    </cfRule>
  </conditionalFormatting>
  <conditionalFormatting sqref="X9:X68">
    <cfRule type="expression" dxfId="298" priority="11">
      <formula>$X$8=""</formula>
    </cfRule>
  </conditionalFormatting>
  <conditionalFormatting sqref="Y9:Y68">
    <cfRule type="expression" dxfId="297" priority="10">
      <formula>$Y$8=""</formula>
    </cfRule>
  </conditionalFormatting>
  <conditionalFormatting sqref="Z9:Z68">
    <cfRule type="expression" dxfId="296" priority="9">
      <formula>$Z$8=""</formula>
    </cfRule>
  </conditionalFormatting>
  <conditionalFormatting sqref="AA9:AA68">
    <cfRule type="expression" dxfId="295" priority="8">
      <formula>$AA$8=""</formula>
    </cfRule>
  </conditionalFormatting>
  <conditionalFormatting sqref="AB9:AB68">
    <cfRule type="expression" dxfId="294" priority="7">
      <formula>$AB$8=""</formula>
    </cfRule>
  </conditionalFormatting>
  <conditionalFormatting sqref="AC9:AC68">
    <cfRule type="expression" dxfId="293" priority="6">
      <formula>$AC$8=""</formula>
    </cfRule>
  </conditionalFormatting>
  <conditionalFormatting sqref="AD9:AD68">
    <cfRule type="expression" dxfId="292" priority="5">
      <formula>$AD$8=""</formula>
    </cfRule>
  </conditionalFormatting>
  <conditionalFormatting sqref="AE9:AE68">
    <cfRule type="expression" dxfId="291" priority="4">
      <formula>$AE$8=""</formula>
    </cfRule>
  </conditionalFormatting>
  <conditionalFormatting sqref="AF9:AF68">
    <cfRule type="expression" dxfId="290" priority="3">
      <formula>$AF$8=""</formula>
    </cfRule>
  </conditionalFormatting>
  <conditionalFormatting sqref="AG9:AG68">
    <cfRule type="expression" dxfId="289" priority="2">
      <formula>$AG$8=""</formula>
    </cfRule>
  </conditionalFormatting>
  <conditionalFormatting sqref="AH9:AH68">
    <cfRule type="expression" dxfId="28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57DC-3FBD-4445-9EC0-C0D71D4BC4BD}">
  <sheetPr codeName="Sheet13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IF(TRANSPOSE(TP!AI5:AI24)="", "", TRANSPOSE(TP!AI5:AI24))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>TP 15</v>
      </c>
      <c r="R8" s="52" t="str">
        <v>TP 16</v>
      </c>
      <c r="S8" s="52" t="str">
        <v>TP 17</v>
      </c>
      <c r="T8" s="52" t="str">
        <v>TP 18</v>
      </c>
      <c r="U8" s="52" t="str">
        <v/>
      </c>
      <c r="V8" s="52" t="str">
        <v/>
      </c>
      <c r="W8" s="53" t="str" cm="1">
        <f t="array" ref="W8:AH8">IF(TRANSPOSE(TP!AH5:AH16)="", "", TRANSPOSE(TP!AH5:AH16))</f>
        <v>Mengenal Unsur dan Prinsip Seni Rupa pada Objek di Sekitar Kita</v>
      </c>
      <c r="X8" s="53" t="str">
        <v>Menggambar Prinsip dalam Seni Rupa</v>
      </c>
      <c r="Y8" s="54" t="str">
        <v>Mengenal dan Mengekplorasi Ikatan dan Simpul</v>
      </c>
      <c r="Z8" s="54" t="str">
        <v>Membuat Karya Seni Makrame Sederhana</v>
      </c>
      <c r="AA8" s="54" t="str">
        <v>Mengenal dan Mengeksplorasi Anyaman</v>
      </c>
      <c r="AB8" s="54" t="str">
        <v>Membuat Souvenir dari Anyaman</v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TP!$AI$5:$AJ$24, 2, 0) &amp; ".",
"")</f>
        <v>Abhy menunjukkan penguasaan dalam menemukan minimal tiga unsur seni rupa yang terdapat dalam objek di lingkungan.</v>
      </c>
      <c r="AT9" s="61" t="str">
        <f>IFERROR(
   'Identitas Siswa'!E8 &amp; " " &amp; LOWER($AT$4) &amp; " " &amp; VLOOKUP(AR9, TP!$AI$5:$AJ$24, 2, 0) &amp; ".",
"")</f>
        <v>Abhy perlu bimbingan dalam menemukan minimal tiga unsur seni rupa yang terdapat dalam objek di lingkungan.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36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TP!$AI$5:$AJ$24, 2, 0) &amp; ".",
"")</f>
        <v>aku menunjukkan penguasaan dalam menemukan minimal tiga unsur seni rupa yang terdapat dalam objek di lingkungan.</v>
      </c>
      <c r="AT10" s="61" t="str">
        <f>IFERROR(
   'Identitas Siswa'!E9 &amp; " " &amp; LOWER($AT$4) &amp; " " &amp; VLOOKUP(AR10, TP!$AI$5:$AJ$24, 2, 0) &amp; ".",
"")</f>
        <v>aku perlu bimbingan dalam menemukan minimal tiga unsur seni rupa yang terdapat dalam objek di lingkungan.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TP!$AI$5:$AJ$24, 2, 0) &amp; ".",
"")</f>
        <v/>
      </c>
      <c r="AT11" s="61" t="str">
        <f>IFERROR(
   'Identitas Siswa'!E10 &amp; " " &amp; LOWER($AT$4) &amp; " " &amp; VLOOKUP(AR11, TP!$AI$5:$AJ$24,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TP!$AI$5:$AJ$24, 2, 0) &amp; ".",
"")</f>
        <v/>
      </c>
      <c r="AT12" s="61" t="str">
        <f>IFERROR(
   'Identitas Siswa'!E11 &amp; " " &amp; LOWER($AT$4) &amp; " " &amp; VLOOKUP(AR12, TP!$AI$5:$AJ$24,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TP!$AI$5:$AJ$24, 2, 0) &amp; ".",
"")</f>
        <v/>
      </c>
      <c r="AT13" s="61" t="str">
        <f>IFERROR(
   'Identitas Siswa'!E12 &amp; " " &amp; LOWER($AT$4) &amp; " " &amp; VLOOKUP(AR13, TP!$AI$5:$AJ$24,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TP!$AI$5:$AJ$24, 2, 0) &amp; ".",
"")</f>
        <v/>
      </c>
      <c r="AT14" s="61" t="str">
        <f>IFERROR(
   'Identitas Siswa'!E13 &amp; " " &amp; LOWER($AT$4) &amp; " " &amp; VLOOKUP(AR14, TP!$AI$5:$AJ$24,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TP!$AI$5:$AJ$24, 2, 0) &amp; ".",
"")</f>
        <v/>
      </c>
      <c r="AT15" s="61" t="str">
        <f>IFERROR(
   'Identitas Siswa'!E14 &amp; " " &amp; LOWER($AT$4) &amp; " " &amp; VLOOKUP(AR15, TP!$AI$5:$AJ$24,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TP!$AI$5:$AJ$24, 2, 0) &amp; ".",
"")</f>
        <v/>
      </c>
      <c r="AT16" s="61" t="str">
        <f>IFERROR(
   'Identitas Siswa'!E15 &amp; " " &amp; LOWER($AT$4) &amp; " " &amp; VLOOKUP(AR16, TP!$AI$5:$AJ$24,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TP!$AI$5:$AJ$24, 2, 0) &amp; ".",
"")</f>
        <v/>
      </c>
      <c r="AT17" s="61" t="str">
        <f>IFERROR(
   'Identitas Siswa'!E16 &amp; " " &amp; LOWER($AT$4) &amp; " " &amp; VLOOKUP(AR17, TP!$AI$5:$AJ$24,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TP!$AI$5:$AJ$24, 2, 0) &amp; ".",
"")</f>
        <v/>
      </c>
      <c r="AT18" s="61" t="str">
        <f>IFERROR(
   'Identitas Siswa'!E17 &amp; " " &amp; LOWER($AT$4) &amp; " " &amp; VLOOKUP(AR18, TP!$AI$5:$AJ$24,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TP!$AI$5:$AJ$24, 2, 0) &amp; ".",
"")</f>
        <v/>
      </c>
      <c r="AT19" s="61" t="str">
        <f>IFERROR(
   'Identitas Siswa'!E18 &amp; " " &amp; LOWER($AT$4) &amp; " " &amp; VLOOKUP(AR19, TP!$AI$5:$AJ$24,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TP!$AI$5:$AJ$24, 2, 0) &amp; ".",
"")</f>
        <v/>
      </c>
      <c r="AT20" s="61" t="str">
        <f>IFERROR(
   'Identitas Siswa'!E19 &amp; " " &amp; LOWER($AT$4) &amp; " " &amp; VLOOKUP(AR20, TP!$AI$5:$AJ$24,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TP!$AI$5:$AJ$24, 2, 0) &amp; ".",
"")</f>
        <v/>
      </c>
      <c r="AT21" s="61" t="str">
        <f>IFERROR(
   'Identitas Siswa'!E20 &amp; " " &amp; LOWER($AT$4) &amp; " " &amp; VLOOKUP(AR21, TP!$AI$5:$AJ$24,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TP!$AI$5:$AJ$24, 2, 0) &amp; ".",
"")</f>
        <v/>
      </c>
      <c r="AT22" s="61" t="str">
        <f>IFERROR(
   'Identitas Siswa'!E21 &amp; " " &amp; LOWER($AT$4) &amp; " " &amp; VLOOKUP(AR22, TP!$AI$5:$AJ$24,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TP!$AI$5:$AJ$24, 2, 0) &amp; ".",
"")</f>
        <v/>
      </c>
      <c r="AT23" s="61" t="str">
        <f>IFERROR(
   'Identitas Siswa'!E22 &amp; " " &amp; LOWER($AT$4) &amp; " " &amp; VLOOKUP(AR23, TP!$AI$5:$AJ$24,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TP!$AI$5:$AJ$24, 2, 0) &amp; ".",
"")</f>
        <v/>
      </c>
      <c r="AT24" s="61" t="str">
        <f>IFERROR(
   'Identitas Siswa'!E23 &amp; " " &amp; LOWER($AT$4) &amp; " " &amp; VLOOKUP(AR24, TP!$AI$5:$AJ$24,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TP!$AI$5:$AJ$24, 2, 0) &amp; ".",
"")</f>
        <v/>
      </c>
      <c r="AT25" s="61" t="str">
        <f>IFERROR(
   'Identitas Siswa'!E24 &amp; " " &amp; LOWER($AT$4) &amp; " " &amp; VLOOKUP(AR25, TP!$AI$5:$AJ$24,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TP!$AI$5:$AJ$24, 2, 0) &amp; ".",
"")</f>
        <v/>
      </c>
      <c r="AT26" s="61" t="str">
        <f>IFERROR(
   'Identitas Siswa'!E25 &amp; " " &amp; LOWER($AT$4) &amp; " " &amp; VLOOKUP(AR26, TP!$AI$5:$AJ$24,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TP!$AI$5:$AJ$24, 2, 0) &amp; ".",
"")</f>
        <v/>
      </c>
      <c r="AT27" s="61" t="str">
        <f>IFERROR(
   'Identitas Siswa'!E26 &amp; " " &amp; LOWER($AT$4) &amp; " " &amp; VLOOKUP(AR27, TP!$AI$5:$AJ$24,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TP!$AI$5:$AJ$24, 2, 0) &amp; ".",
"")</f>
        <v/>
      </c>
      <c r="AT28" s="61" t="str">
        <f>IFERROR(
   'Identitas Siswa'!E27 &amp; " " &amp; LOWER($AT$4) &amp; " " &amp; VLOOKUP(AR28, TP!$AI$5:$AJ$24,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TP!$AI$5:$AJ$24, 2, 0) &amp; ".",
"")</f>
        <v/>
      </c>
      <c r="AT29" s="61" t="str">
        <f>IFERROR(
   'Identitas Siswa'!E28 &amp; " " &amp; LOWER($AT$4) &amp; " " &amp; VLOOKUP(AR29, TP!$AI$5:$AJ$24,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TP!$AI$5:$AJ$24, 2, 0) &amp; ".",
"")</f>
        <v/>
      </c>
      <c r="AT30" s="61" t="str">
        <f>IFERROR(
   'Identitas Siswa'!E29 &amp; " " &amp; LOWER($AT$4) &amp; " " &amp; VLOOKUP(AR30, TP!$AI$5:$AJ$24,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TP!$AI$5:$AJ$24, 2, 0) &amp; ".",
"")</f>
        <v/>
      </c>
      <c r="AT31" s="61" t="str">
        <f>IFERROR(
   'Identitas Siswa'!E30 &amp; " " &amp; LOWER($AT$4) &amp; " " &amp; VLOOKUP(AR31, TP!$AI$5:$AJ$24,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TP!$AI$5:$AJ$24, 2, 0) &amp; ".",
"")</f>
        <v/>
      </c>
      <c r="AT32" s="61" t="str">
        <f>IFERROR(
   'Identitas Siswa'!E31 &amp; " " &amp; LOWER($AT$4) &amp; " " &amp; VLOOKUP(AR32, TP!$AI$5:$AJ$24,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TP!$AI$5:$AJ$24, 2, 0) &amp; ".",
"")</f>
        <v/>
      </c>
      <c r="AT33" s="61" t="str">
        <f>IFERROR(
   'Identitas Siswa'!E32 &amp; " " &amp; LOWER($AT$4) &amp; " " &amp; VLOOKUP(AR33, TP!$AI$5:$AJ$24,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TP!$AI$5:$AJ$24, 2, 0) &amp; ".",
"")</f>
        <v/>
      </c>
      <c r="AT34" s="61" t="str">
        <f>IFERROR(
   'Identitas Siswa'!E33 &amp; " " &amp; LOWER($AT$4) &amp; " " &amp; VLOOKUP(AR34, TP!$AI$5:$AJ$24,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TP!$AI$5:$AJ$24, 2, 0) &amp; ".",
"")</f>
        <v/>
      </c>
      <c r="AT35" s="61" t="str">
        <f>IFERROR(
   'Identitas Siswa'!E34 &amp; " " &amp; LOWER($AT$4) &amp; " " &amp; VLOOKUP(AR35, TP!$AI$5:$AJ$24,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TP!$AI$5:$AJ$24, 2, 0) &amp; ".",
"")</f>
        <v/>
      </c>
      <c r="AT36" s="61" t="str">
        <f>IFERROR(
   'Identitas Siswa'!E35 &amp; " " &amp; LOWER($AT$4) &amp; " " &amp; VLOOKUP(AR36, TP!$AI$5:$AJ$24,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TP!$AI$5:$AJ$24, 2, 0) &amp; ".",
"")</f>
        <v/>
      </c>
      <c r="AT37" s="61" t="str">
        <f>IFERROR(
   'Identitas Siswa'!E36 &amp; " " &amp; LOWER($AT$4) &amp; " " &amp; VLOOKUP(AR37, TP!$AI$5:$AJ$24,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TP!$AI$5:$AJ$24, 2, 0) &amp; ".",
"")</f>
        <v/>
      </c>
      <c r="AT38" s="61" t="str">
        <f>IFERROR(
   'Identitas Siswa'!E37 &amp; " " &amp; LOWER($AT$4) &amp; " " &amp; VLOOKUP(AR38, TP!$AI$5:$AJ$24,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TP!$AI$5:$AJ$24, 2, 0) &amp; ".",
"")</f>
        <v/>
      </c>
      <c r="AT39" s="61" t="str">
        <f>IFERROR(
   'Identitas Siswa'!E38 &amp; " " &amp; LOWER($AT$4) &amp; " " &amp; VLOOKUP(AR39, TP!$AI$5:$AJ$24,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TP!$AI$5:$AJ$24, 2, 0) &amp; ".",
"")</f>
        <v/>
      </c>
      <c r="AT40" s="61" t="str">
        <f>IFERROR(
   'Identitas Siswa'!E39 &amp; " " &amp; LOWER($AT$4) &amp; " " &amp; VLOOKUP(AR40, TP!$AI$5:$AJ$24,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TP!$AI$5:$AJ$24, 2, 0) &amp; ".",
"")</f>
        <v/>
      </c>
      <c r="AT41" s="61" t="str">
        <f>IFERROR(
   'Identitas Siswa'!E40 &amp; " " &amp; LOWER($AT$4) &amp; " " &amp; VLOOKUP(AR41, TP!$AI$5:$AJ$24,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TP!$AI$5:$AJ$24, 2, 0) &amp; ".",
"")</f>
        <v/>
      </c>
      <c r="AT42" s="61" t="str">
        <f>IFERROR(
   'Identitas Siswa'!E41 &amp; " " &amp; LOWER($AT$4) &amp; " " &amp; VLOOKUP(AR42, TP!$AI$5:$AJ$24,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TP!$AI$5:$AJ$24, 2, 0) &amp; ".",
"")</f>
        <v/>
      </c>
      <c r="AT43" s="61" t="str">
        <f>IFERROR(
   'Identitas Siswa'!E42 &amp; " " &amp; LOWER($AT$4) &amp; " " &amp; VLOOKUP(AR43, TP!$AI$5:$AJ$24,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TP!$AI$5:$AJ$24, 2, 0) &amp; ".",
"")</f>
        <v/>
      </c>
      <c r="AT44" s="61" t="str">
        <f>IFERROR(
   'Identitas Siswa'!E43 &amp; " " &amp; LOWER($AT$4) &amp; " " &amp; VLOOKUP(AR44, TP!$AI$5:$AJ$24,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TP!$AI$5:$AJ$24, 2, 0) &amp; ".",
"")</f>
        <v/>
      </c>
      <c r="AT45" s="61" t="str">
        <f>IFERROR(
   'Identitas Siswa'!E44 &amp; " " &amp; LOWER($AT$4) &amp; " " &amp; VLOOKUP(AR45, TP!$AI$5:$AJ$24,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TP!$AI$5:$AJ$24, 2, 0) &amp; ".",
"")</f>
        <v/>
      </c>
      <c r="AT46" s="61" t="str">
        <f>IFERROR(
   'Identitas Siswa'!E45 &amp; " " &amp; LOWER($AT$4) &amp; " " &amp; VLOOKUP(AR46, TP!$AI$5:$AJ$24,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TP!$AI$5:$AJ$24, 2, 0) &amp; ".",
"")</f>
        <v/>
      </c>
      <c r="AT47" s="61" t="str">
        <f>IFERROR(
   'Identitas Siswa'!E46 &amp; " " &amp; LOWER($AT$4) &amp; " " &amp; VLOOKUP(AR47, TP!$AI$5:$AJ$24,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TP!$AI$5:$AJ$24, 2, 0) &amp; ".",
"")</f>
        <v/>
      </c>
      <c r="AT48" s="61" t="str">
        <f>IFERROR(
   'Identitas Siswa'!E47 &amp; " " &amp; LOWER($AT$4) &amp; " " &amp; VLOOKUP(AR48, TP!$AI$5:$AJ$24,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TP!$AI$5:$AJ$24, 2, 0) &amp; ".",
"")</f>
        <v/>
      </c>
      <c r="AT49" s="61" t="str">
        <f>IFERROR(
   'Identitas Siswa'!E48 &amp; " " &amp; LOWER($AT$4) &amp; " " &amp; VLOOKUP(AR49, TP!$AI$5:$AJ$24,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TP!$AI$5:$AJ$24, 2, 0) &amp; ".",
"")</f>
        <v/>
      </c>
      <c r="AT50" s="61" t="str">
        <f>IFERROR(
   'Identitas Siswa'!E49 &amp; " " &amp; LOWER($AT$4) &amp; " " &amp; VLOOKUP(AR50, TP!$AI$5:$AJ$24,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TP!$AI$5:$AJ$24, 2, 0) &amp; ".",
"")</f>
        <v/>
      </c>
      <c r="AT51" s="61" t="str">
        <f>IFERROR(
   'Identitas Siswa'!E50 &amp; " " &amp; LOWER($AT$4) &amp; " " &amp; VLOOKUP(AR51, TP!$AI$5:$AJ$24,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TP!$AI$5:$AJ$24, 2, 0) &amp; ".",
"")</f>
        <v/>
      </c>
      <c r="AT52" s="61" t="str">
        <f>IFERROR(
   'Identitas Siswa'!E51 &amp; " " &amp; LOWER($AT$4) &amp; " " &amp; VLOOKUP(AR52, TP!$AI$5:$AJ$24,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TP!$AI$5:$AJ$24, 2, 0) &amp; ".",
"")</f>
        <v/>
      </c>
      <c r="AT53" s="61" t="str">
        <f>IFERROR(
   'Identitas Siswa'!E52 &amp; " " &amp; LOWER($AT$4) &amp; " " &amp; VLOOKUP(AR53, TP!$AI$5:$AJ$24,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TP!$AI$5:$AJ$24, 2, 0) &amp; ".",
"")</f>
        <v/>
      </c>
      <c r="AT54" s="61" t="str">
        <f>IFERROR(
   'Identitas Siswa'!E53 &amp; " " &amp; LOWER($AT$4) &amp; " " &amp; VLOOKUP(AR54, TP!$AI$5:$AJ$24,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TP!$AI$5:$AJ$24, 2, 0) &amp; ".",
"")</f>
        <v/>
      </c>
      <c r="AT55" s="61" t="str">
        <f>IFERROR(
   'Identitas Siswa'!E54 &amp; " " &amp; LOWER($AT$4) &amp; " " &amp; VLOOKUP(AR55, TP!$AI$5:$AJ$24,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TP!$AI$5:$AJ$24, 2, 0) &amp; ".",
"")</f>
        <v/>
      </c>
      <c r="AT56" s="61" t="str">
        <f>IFERROR(
   'Identitas Siswa'!E55 &amp; " " &amp; LOWER($AT$4) &amp; " " &amp; VLOOKUP(AR56, TP!$AI$5:$AJ$24,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TP!$AI$5:$AJ$24, 2, 0) &amp; ".",
"")</f>
        <v/>
      </c>
      <c r="AT57" s="61" t="str">
        <f>IFERROR(
   'Identitas Siswa'!E56 &amp; " " &amp; LOWER($AT$4) &amp; " " &amp; VLOOKUP(AR57, TP!$AI$5:$AJ$24,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TP!$AI$5:$AJ$24, 2, 0) &amp; ".",
"")</f>
        <v/>
      </c>
      <c r="AT58" s="61" t="str">
        <f>IFERROR(
   'Identitas Siswa'!E57 &amp; " " &amp; LOWER($AT$4) &amp; " " &amp; VLOOKUP(AR58, TP!$AI$5:$AJ$24,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TP!$AI$5:$AJ$24, 2, 0) &amp; ".",
"")</f>
        <v/>
      </c>
      <c r="AT59" s="61" t="str">
        <f>IFERROR(
   'Identitas Siswa'!E58 &amp; " " &amp; LOWER($AT$4) &amp; " " &amp; VLOOKUP(AR59, TP!$AI$5:$AJ$24,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TP!$AI$5:$AJ$24, 2, 0) &amp; ".",
"")</f>
        <v/>
      </c>
      <c r="AT60" s="61" t="str">
        <f>IFERROR(
   'Identitas Siswa'!E59 &amp; " " &amp; LOWER($AT$4) &amp; " " &amp; VLOOKUP(AR60, TP!$AI$5:$AJ$24,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TP!$AI$5:$AJ$24, 2, 0) &amp; ".",
"")</f>
        <v/>
      </c>
      <c r="AT61" s="61" t="str">
        <f>IFERROR(
   'Identitas Siswa'!E60 &amp; " " &amp; LOWER($AT$4) &amp; " " &amp; VLOOKUP(AR61, TP!$AI$5:$AJ$24,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TP!$AI$5:$AJ$24, 2, 0) &amp; ".",
"")</f>
        <v/>
      </c>
      <c r="AT62" s="61" t="str">
        <f>IFERROR(
   'Identitas Siswa'!E61 &amp; " " &amp; LOWER($AT$4) &amp; " " &amp; VLOOKUP(AR62, TP!$AI$5:$AJ$24,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TP!$AI$5:$AJ$24, 2, 0) &amp; ".",
"")</f>
        <v/>
      </c>
      <c r="AT63" s="61" t="str">
        <f>IFERROR(
   'Identitas Siswa'!E62 &amp; " " &amp; LOWER($AT$4) &amp; " " &amp; VLOOKUP(AR63, TP!$AI$5:$AJ$24,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TP!$AI$5:$AJ$24, 2, 0) &amp; ".",
"")</f>
        <v/>
      </c>
      <c r="AT64" s="61" t="str">
        <f>IFERROR(
   'Identitas Siswa'!E63 &amp; " " &amp; LOWER($AT$4) &amp; " " &amp; VLOOKUP(AR64, TP!$AI$5:$AJ$24,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TP!$AI$5:$AJ$24, 2, 0) &amp; ".",
"")</f>
        <v/>
      </c>
      <c r="AT65" s="61" t="str">
        <f>IFERROR(
   'Identitas Siswa'!E64 &amp; " " &amp; LOWER($AT$4) &amp; " " &amp; VLOOKUP(AR65, TP!$AI$5:$AJ$24,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TP!$AI$5:$AJ$24, 2, 0) &amp; ".",
"")</f>
        <v/>
      </c>
      <c r="AT66" s="61" t="str">
        <f>IFERROR(
   'Identitas Siswa'!E65 &amp; " " &amp; LOWER($AT$4) &amp; " " &amp; VLOOKUP(AR66, TP!$AI$5:$AJ$24,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TP!$AI$5:$AJ$24, 2, 0) &amp; ".",
"")</f>
        <v/>
      </c>
      <c r="AT67" s="61" t="str">
        <f>IFERROR(
   'Identitas Siswa'!E66 &amp; " " &amp; LOWER($AT$4) &amp; " " &amp; VLOOKUP(AR67, TP!$AI$5:$AJ$24,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TP!$AI$5:$AJ$24, 2, 0) &amp; ".",
"")</f>
        <v/>
      </c>
      <c r="AT68" s="61" t="str">
        <f>IFERROR(
   'Identitas Siswa'!E67 &amp; " " &amp; LOWER($AT$4) &amp; " " &amp; VLOOKUP(AR68, TP!$AI$5:$AJ$24,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87" priority="32">
      <formula>$C$8=""</formula>
    </cfRule>
  </conditionalFormatting>
  <conditionalFormatting sqref="D9:D68">
    <cfRule type="expression" dxfId="286" priority="31">
      <formula>$D$8=""</formula>
    </cfRule>
  </conditionalFormatting>
  <conditionalFormatting sqref="E9:E68">
    <cfRule type="expression" dxfId="285" priority="30">
      <formula>$E$8=""</formula>
    </cfRule>
  </conditionalFormatting>
  <conditionalFormatting sqref="F9:F68">
    <cfRule type="expression" dxfId="284" priority="29">
      <formula>$F$8=""</formula>
    </cfRule>
  </conditionalFormatting>
  <conditionalFormatting sqref="G9:G68">
    <cfRule type="expression" dxfId="283" priority="28">
      <formula>$G$8=""</formula>
    </cfRule>
  </conditionalFormatting>
  <conditionalFormatting sqref="H9:H68">
    <cfRule type="expression" dxfId="282" priority="27">
      <formula>$H$8=""</formula>
    </cfRule>
  </conditionalFormatting>
  <conditionalFormatting sqref="I9:I68">
    <cfRule type="expression" dxfId="281" priority="26">
      <formula>$I$8=""</formula>
    </cfRule>
  </conditionalFormatting>
  <conditionalFormatting sqref="J9:J68">
    <cfRule type="expression" dxfId="280" priority="25">
      <formula>$J$8=""</formula>
    </cfRule>
  </conditionalFormatting>
  <conditionalFormatting sqref="K9:K68">
    <cfRule type="expression" dxfId="279" priority="24">
      <formula>$K$8=""</formula>
    </cfRule>
  </conditionalFormatting>
  <conditionalFormatting sqref="L9:L68">
    <cfRule type="expression" dxfId="278" priority="23">
      <formula>$L$8=""</formula>
    </cfRule>
  </conditionalFormatting>
  <conditionalFormatting sqref="M9:M68">
    <cfRule type="expression" dxfId="277" priority="22">
      <formula>$M$8=""</formula>
    </cfRule>
  </conditionalFormatting>
  <conditionalFormatting sqref="N9:N68">
    <cfRule type="expression" dxfId="276" priority="21">
      <formula>$N$8=""</formula>
    </cfRule>
  </conditionalFormatting>
  <conditionalFormatting sqref="O9:O68">
    <cfRule type="expression" dxfId="275" priority="20">
      <formula>$O$8=""</formula>
    </cfRule>
  </conditionalFormatting>
  <conditionalFormatting sqref="P9:P68">
    <cfRule type="expression" dxfId="274" priority="19">
      <formula>$P$8=""</formula>
    </cfRule>
  </conditionalFormatting>
  <conditionalFormatting sqref="Q9:Q68">
    <cfRule type="expression" dxfId="273" priority="18">
      <formula>$Q$8=""</formula>
    </cfRule>
  </conditionalFormatting>
  <conditionalFormatting sqref="R9:R68">
    <cfRule type="expression" dxfId="272" priority="17">
      <formula>$R$8=""</formula>
    </cfRule>
  </conditionalFormatting>
  <conditionalFormatting sqref="S9:S68">
    <cfRule type="expression" dxfId="271" priority="16">
      <formula>$S$8=""</formula>
    </cfRule>
  </conditionalFormatting>
  <conditionalFormatting sqref="T9:T68">
    <cfRule type="expression" dxfId="270" priority="15">
      <formula>$T$8=""</formula>
    </cfRule>
  </conditionalFormatting>
  <conditionalFormatting sqref="U9:U68">
    <cfRule type="expression" dxfId="269" priority="14">
      <formula>$U$8=""</formula>
    </cfRule>
  </conditionalFormatting>
  <conditionalFormatting sqref="V9:V68">
    <cfRule type="expression" dxfId="268" priority="13">
      <formula>$V$8=""</formula>
    </cfRule>
  </conditionalFormatting>
  <conditionalFormatting sqref="W9:W68">
    <cfRule type="expression" dxfId="267" priority="12">
      <formula>$W$8=""</formula>
    </cfRule>
  </conditionalFormatting>
  <conditionalFormatting sqref="X9:X68">
    <cfRule type="expression" dxfId="266" priority="11">
      <formula>$X$8=""</formula>
    </cfRule>
  </conditionalFormatting>
  <conditionalFormatting sqref="Y9:Y68">
    <cfRule type="expression" dxfId="265" priority="10">
      <formula>$Y$8=""</formula>
    </cfRule>
  </conditionalFormatting>
  <conditionalFormatting sqref="Z9:Z68">
    <cfRule type="expression" dxfId="264" priority="9">
      <formula>$Z$8=""</formula>
    </cfRule>
  </conditionalFormatting>
  <conditionalFormatting sqref="AA9:AA68">
    <cfRule type="expression" dxfId="263" priority="8">
      <formula>$AA$8=""</formula>
    </cfRule>
  </conditionalFormatting>
  <conditionalFormatting sqref="AB9:AB68">
    <cfRule type="expression" dxfId="262" priority="7">
      <formula>$AB$8=""</formula>
    </cfRule>
  </conditionalFormatting>
  <conditionalFormatting sqref="AC9:AC68">
    <cfRule type="expression" dxfId="261" priority="6">
      <formula>$AC$8=""</formula>
    </cfRule>
  </conditionalFormatting>
  <conditionalFormatting sqref="AD9:AD68">
    <cfRule type="expression" dxfId="260" priority="5">
      <formula>$AD$8=""</formula>
    </cfRule>
  </conditionalFormatting>
  <conditionalFormatting sqref="AE9:AE68">
    <cfRule type="expression" dxfId="259" priority="4">
      <formula>$AE$8=""</formula>
    </cfRule>
  </conditionalFormatting>
  <conditionalFormatting sqref="AF9:AF68">
    <cfRule type="expression" dxfId="258" priority="3">
      <formula>$AF$8=""</formula>
    </cfRule>
  </conditionalFormatting>
  <conditionalFormatting sqref="AG9:AG68">
    <cfRule type="expression" dxfId="257" priority="2">
      <formula>$AG$8=""</formula>
    </cfRule>
  </conditionalFormatting>
  <conditionalFormatting sqref="AH9:AH68">
    <cfRule type="expression" dxfId="25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76C76-1861-44CF-B7BE-9EE40BD08F67}">
  <sheetPr codeName="Sheet14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IF(TRANSPOSE(TP!AM5:AM24)="", "", TRANSPOSE(TP!AM5:AM24))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>TP 15</v>
      </c>
      <c r="R8" s="52" t="str">
        <v>TP 16</v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IF(TRANSPOSE(TP!AL5:AL16)="", "", TRANSPOSE(TP!AL5:AL16))</f>
        <v>Bermain itu Menyenangkan</v>
      </c>
      <c r="X8" s="53" t="str">
        <v>Bermain Peran</v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TP!$AM$5:$AN$24, 2, 0) &amp; ".",
"")</f>
        <v>Abhy menunjukkan penguasaan dalam mengembangkan gerak tubuh berdasar pada aturan dan instruksi sederhana.</v>
      </c>
      <c r="AT9" s="61" t="str">
        <f>IFERROR(
   'Identitas Siswa'!E8 &amp; " " &amp; LOWER($AT$4) &amp; " " &amp; VLOOKUP(AR9, TP!$AM$5:$AN$24, 2, 0) &amp; ".",
"")</f>
        <v>Abhy perlu bimbingan dalam mengembangkan gerak tubuh berdasar pada aturan dan instruksi sederhana.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36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TP!$AM$5:$AN$24, 2, 0) &amp; ".",
"")</f>
        <v>aku menunjukkan penguasaan dalam mengembangkan gerak tubuh berdasar pada aturan dan instruksi sederhana.</v>
      </c>
      <c r="AT10" s="61" t="str">
        <f>IFERROR(
   'Identitas Siswa'!E9 &amp; " " &amp; LOWER($AT$4) &amp; " " &amp; VLOOKUP(AR10, TP!$AM$5:$AN$24, 2, 0) &amp; ".",
"")</f>
        <v>aku perlu bimbingan dalam mengembangkan gerak tubuh berdasar pada aturan dan instruksi sederhana.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TP!$AM$5:$AN$24, 2, 0) &amp; ".",
"")</f>
        <v/>
      </c>
      <c r="AT11" s="61" t="str">
        <f>IFERROR(
   'Identitas Siswa'!E10 &amp; " " &amp; LOWER($AT$4) &amp; " " &amp; VLOOKUP(AR11, TP!$AM$5:$AN$24,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TP!$AM$5:$AN$24, 2, 0) &amp; ".",
"")</f>
        <v/>
      </c>
      <c r="AT12" s="61" t="str">
        <f>IFERROR(
   'Identitas Siswa'!E11 &amp; " " &amp; LOWER($AT$4) &amp; " " &amp; VLOOKUP(AR12, TP!$AM$5:$AN$24,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TP!$AM$5:$AN$24, 2, 0) &amp; ".",
"")</f>
        <v/>
      </c>
      <c r="AT13" s="61" t="str">
        <f>IFERROR(
   'Identitas Siswa'!E12 &amp; " " &amp; LOWER($AT$4) &amp; " " &amp; VLOOKUP(AR13, TP!$AM$5:$AN$24,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TP!$AM$5:$AN$24, 2, 0) &amp; ".",
"")</f>
        <v/>
      </c>
      <c r="AT14" s="61" t="str">
        <f>IFERROR(
   'Identitas Siswa'!E13 &amp; " " &amp; LOWER($AT$4) &amp; " " &amp; VLOOKUP(AR14, TP!$AM$5:$AN$24,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TP!$AM$5:$AN$24, 2, 0) &amp; ".",
"")</f>
        <v/>
      </c>
      <c r="AT15" s="61" t="str">
        <f>IFERROR(
   'Identitas Siswa'!E14 &amp; " " &amp; LOWER($AT$4) &amp; " " &amp; VLOOKUP(AR15, TP!$AM$5:$AN$24,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TP!$AM$5:$AN$24, 2, 0) &amp; ".",
"")</f>
        <v/>
      </c>
      <c r="AT16" s="61" t="str">
        <f>IFERROR(
   'Identitas Siswa'!E15 &amp; " " &amp; LOWER($AT$4) &amp; " " &amp; VLOOKUP(AR16, TP!$AM$5:$AN$24,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TP!$AM$5:$AN$24, 2, 0) &amp; ".",
"")</f>
        <v/>
      </c>
      <c r="AT17" s="61" t="str">
        <f>IFERROR(
   'Identitas Siswa'!E16 &amp; " " &amp; LOWER($AT$4) &amp; " " &amp; VLOOKUP(AR17, TP!$AM$5:$AN$24,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TP!$AM$5:$AN$24, 2, 0) &amp; ".",
"")</f>
        <v/>
      </c>
      <c r="AT18" s="61" t="str">
        <f>IFERROR(
   'Identitas Siswa'!E17 &amp; " " &amp; LOWER($AT$4) &amp; " " &amp; VLOOKUP(AR18, TP!$AM$5:$AN$24,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TP!$AM$5:$AN$24, 2, 0) &amp; ".",
"")</f>
        <v/>
      </c>
      <c r="AT19" s="61" t="str">
        <f>IFERROR(
   'Identitas Siswa'!E18 &amp; " " &amp; LOWER($AT$4) &amp; " " &amp; VLOOKUP(AR19, TP!$AM$5:$AN$24,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TP!$AM$5:$AN$24, 2, 0) &amp; ".",
"")</f>
        <v/>
      </c>
      <c r="AT20" s="61" t="str">
        <f>IFERROR(
   'Identitas Siswa'!E19 &amp; " " &amp; LOWER($AT$4) &amp; " " &amp; VLOOKUP(AR20, TP!$AM$5:$AN$24,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TP!$AM$5:$AN$24, 2, 0) &amp; ".",
"")</f>
        <v/>
      </c>
      <c r="AT21" s="61" t="str">
        <f>IFERROR(
   'Identitas Siswa'!E20 &amp; " " &amp; LOWER($AT$4) &amp; " " &amp; VLOOKUP(AR21, TP!$AM$5:$AN$24,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TP!$AM$5:$AN$24, 2, 0) &amp; ".",
"")</f>
        <v/>
      </c>
      <c r="AT22" s="61" t="str">
        <f>IFERROR(
   'Identitas Siswa'!E21 &amp; " " &amp; LOWER($AT$4) &amp; " " &amp; VLOOKUP(AR22, TP!$AM$5:$AN$24,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TP!$AM$5:$AN$24, 2, 0) &amp; ".",
"")</f>
        <v/>
      </c>
      <c r="AT23" s="61" t="str">
        <f>IFERROR(
   'Identitas Siswa'!E22 &amp; " " &amp; LOWER($AT$4) &amp; " " &amp; VLOOKUP(AR23, TP!$AM$5:$AN$24,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TP!$AM$5:$AN$24, 2, 0) &amp; ".",
"")</f>
        <v/>
      </c>
      <c r="AT24" s="61" t="str">
        <f>IFERROR(
   'Identitas Siswa'!E23 &amp; " " &amp; LOWER($AT$4) &amp; " " &amp; VLOOKUP(AR24, TP!$AM$5:$AN$24,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TP!$AM$5:$AN$24, 2, 0) &amp; ".",
"")</f>
        <v/>
      </c>
      <c r="AT25" s="61" t="str">
        <f>IFERROR(
   'Identitas Siswa'!E24 &amp; " " &amp; LOWER($AT$4) &amp; " " &amp; VLOOKUP(AR25, TP!$AM$5:$AN$24,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TP!$AM$5:$AN$24, 2, 0) &amp; ".",
"")</f>
        <v/>
      </c>
      <c r="AT26" s="61" t="str">
        <f>IFERROR(
   'Identitas Siswa'!E25 &amp; " " &amp; LOWER($AT$4) &amp; " " &amp; VLOOKUP(AR26, TP!$AM$5:$AN$24,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TP!$AM$5:$AN$24, 2, 0) &amp; ".",
"")</f>
        <v/>
      </c>
      <c r="AT27" s="61" t="str">
        <f>IFERROR(
   'Identitas Siswa'!E26 &amp; " " &amp; LOWER($AT$4) &amp; " " &amp; VLOOKUP(AR27, TP!$AM$5:$AN$24,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TP!$AM$5:$AN$24, 2, 0) &amp; ".",
"")</f>
        <v/>
      </c>
      <c r="AT28" s="61" t="str">
        <f>IFERROR(
   'Identitas Siswa'!E27 &amp; " " &amp; LOWER($AT$4) &amp; " " &amp; VLOOKUP(AR28, TP!$AM$5:$AN$24,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TP!$AM$5:$AN$24, 2, 0) &amp; ".",
"")</f>
        <v/>
      </c>
      <c r="AT29" s="61" t="str">
        <f>IFERROR(
   'Identitas Siswa'!E28 &amp; " " &amp; LOWER($AT$4) &amp; " " &amp; VLOOKUP(AR29, TP!$AM$5:$AN$24,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TP!$AM$5:$AN$24, 2, 0) &amp; ".",
"")</f>
        <v/>
      </c>
      <c r="AT30" s="61" t="str">
        <f>IFERROR(
   'Identitas Siswa'!E29 &amp; " " &amp; LOWER($AT$4) &amp; " " &amp; VLOOKUP(AR30, TP!$AM$5:$AN$24,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TP!$AM$5:$AN$24, 2, 0) &amp; ".",
"")</f>
        <v/>
      </c>
      <c r="AT31" s="61" t="str">
        <f>IFERROR(
   'Identitas Siswa'!E30 &amp; " " &amp; LOWER($AT$4) &amp; " " &amp; VLOOKUP(AR31, TP!$AM$5:$AN$24,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TP!$AM$5:$AN$24, 2, 0) &amp; ".",
"")</f>
        <v/>
      </c>
      <c r="AT32" s="61" t="str">
        <f>IFERROR(
   'Identitas Siswa'!E31 &amp; " " &amp; LOWER($AT$4) &amp; " " &amp; VLOOKUP(AR32, TP!$AM$5:$AN$24,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TP!$AM$5:$AN$24, 2, 0) &amp; ".",
"")</f>
        <v/>
      </c>
      <c r="AT33" s="61" t="str">
        <f>IFERROR(
   'Identitas Siswa'!E32 &amp; " " &amp; LOWER($AT$4) &amp; " " &amp; VLOOKUP(AR33, TP!$AM$5:$AN$24,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TP!$AM$5:$AN$24, 2, 0) &amp; ".",
"")</f>
        <v/>
      </c>
      <c r="AT34" s="61" t="str">
        <f>IFERROR(
   'Identitas Siswa'!E33 &amp; " " &amp; LOWER($AT$4) &amp; " " &amp; VLOOKUP(AR34, TP!$AM$5:$AN$24,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TP!$AM$5:$AN$24, 2, 0) &amp; ".",
"")</f>
        <v/>
      </c>
      <c r="AT35" s="61" t="str">
        <f>IFERROR(
   'Identitas Siswa'!E34 &amp; " " &amp; LOWER($AT$4) &amp; " " &amp; VLOOKUP(AR35, TP!$AM$5:$AN$24,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TP!$AM$5:$AN$24, 2, 0) &amp; ".",
"")</f>
        <v/>
      </c>
      <c r="AT36" s="61" t="str">
        <f>IFERROR(
   'Identitas Siswa'!E35 &amp; " " &amp; LOWER($AT$4) &amp; " " &amp; VLOOKUP(AR36, TP!$AM$5:$AN$24,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TP!$AM$5:$AN$24, 2, 0) &amp; ".",
"")</f>
        <v/>
      </c>
      <c r="AT37" s="61" t="str">
        <f>IFERROR(
   'Identitas Siswa'!E36 &amp; " " &amp; LOWER($AT$4) &amp; " " &amp; VLOOKUP(AR37, TP!$AM$5:$AN$24,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TP!$AM$5:$AN$24, 2, 0) &amp; ".",
"")</f>
        <v/>
      </c>
      <c r="AT38" s="61" t="str">
        <f>IFERROR(
   'Identitas Siswa'!E37 &amp; " " &amp; LOWER($AT$4) &amp; " " &amp; VLOOKUP(AR38, TP!$AM$5:$AN$24,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TP!$AM$5:$AN$24, 2, 0) &amp; ".",
"")</f>
        <v/>
      </c>
      <c r="AT39" s="61" t="str">
        <f>IFERROR(
   'Identitas Siswa'!E38 &amp; " " &amp; LOWER($AT$4) &amp; " " &amp; VLOOKUP(AR39, TP!$AM$5:$AN$24,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TP!$AM$5:$AN$24, 2, 0) &amp; ".",
"")</f>
        <v/>
      </c>
      <c r="AT40" s="61" t="str">
        <f>IFERROR(
   'Identitas Siswa'!E39 &amp; " " &amp; LOWER($AT$4) &amp; " " &amp; VLOOKUP(AR40, TP!$AM$5:$AN$24,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TP!$AM$5:$AN$24, 2, 0) &amp; ".",
"")</f>
        <v/>
      </c>
      <c r="AT41" s="61" t="str">
        <f>IFERROR(
   'Identitas Siswa'!E40 &amp; " " &amp; LOWER($AT$4) &amp; " " &amp; VLOOKUP(AR41, TP!$AM$5:$AN$24,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TP!$AM$5:$AN$24, 2, 0) &amp; ".",
"")</f>
        <v/>
      </c>
      <c r="AT42" s="61" t="str">
        <f>IFERROR(
   'Identitas Siswa'!E41 &amp; " " &amp; LOWER($AT$4) &amp; " " &amp; VLOOKUP(AR42, TP!$AM$5:$AN$24,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TP!$AM$5:$AN$24, 2, 0) &amp; ".",
"")</f>
        <v/>
      </c>
      <c r="AT43" s="61" t="str">
        <f>IFERROR(
   'Identitas Siswa'!E42 &amp; " " &amp; LOWER($AT$4) &amp; " " &amp; VLOOKUP(AR43, TP!$AM$5:$AN$24,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TP!$AM$5:$AN$24, 2, 0) &amp; ".",
"")</f>
        <v/>
      </c>
      <c r="AT44" s="61" t="str">
        <f>IFERROR(
   'Identitas Siswa'!E43 &amp; " " &amp; LOWER($AT$4) &amp; " " &amp; VLOOKUP(AR44, TP!$AM$5:$AN$24,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TP!$AM$5:$AN$24, 2, 0) &amp; ".",
"")</f>
        <v/>
      </c>
      <c r="AT45" s="61" t="str">
        <f>IFERROR(
   'Identitas Siswa'!E44 &amp; " " &amp; LOWER($AT$4) &amp; " " &amp; VLOOKUP(AR45, TP!$AM$5:$AN$24,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TP!$AM$5:$AN$24, 2, 0) &amp; ".",
"")</f>
        <v/>
      </c>
      <c r="AT46" s="61" t="str">
        <f>IFERROR(
   'Identitas Siswa'!E45 &amp; " " &amp; LOWER($AT$4) &amp; " " &amp; VLOOKUP(AR46, TP!$AM$5:$AN$24,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TP!$AM$5:$AN$24, 2, 0) &amp; ".",
"")</f>
        <v/>
      </c>
      <c r="AT47" s="61" t="str">
        <f>IFERROR(
   'Identitas Siswa'!E46 &amp; " " &amp; LOWER($AT$4) &amp; " " &amp; VLOOKUP(AR47, TP!$AM$5:$AN$24,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TP!$AM$5:$AN$24, 2, 0) &amp; ".",
"")</f>
        <v/>
      </c>
      <c r="AT48" s="61" t="str">
        <f>IFERROR(
   'Identitas Siswa'!E47 &amp; " " &amp; LOWER($AT$4) &amp; " " &amp; VLOOKUP(AR48, TP!$AM$5:$AN$24,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TP!$AM$5:$AN$24, 2, 0) &amp; ".",
"")</f>
        <v/>
      </c>
      <c r="AT49" s="61" t="str">
        <f>IFERROR(
   'Identitas Siswa'!E48 &amp; " " &amp; LOWER($AT$4) &amp; " " &amp; VLOOKUP(AR49, TP!$AM$5:$AN$24,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TP!$AM$5:$AN$24, 2, 0) &amp; ".",
"")</f>
        <v/>
      </c>
      <c r="AT50" s="61" t="str">
        <f>IFERROR(
   'Identitas Siswa'!E49 &amp; " " &amp; LOWER($AT$4) &amp; " " &amp; VLOOKUP(AR50, TP!$AM$5:$AN$24,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TP!$AM$5:$AN$24, 2, 0) &amp; ".",
"")</f>
        <v/>
      </c>
      <c r="AT51" s="61" t="str">
        <f>IFERROR(
   'Identitas Siswa'!E50 &amp; " " &amp; LOWER($AT$4) &amp; " " &amp; VLOOKUP(AR51, TP!$AM$5:$AN$24,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TP!$AM$5:$AN$24, 2, 0) &amp; ".",
"")</f>
        <v/>
      </c>
      <c r="AT52" s="61" t="str">
        <f>IFERROR(
   'Identitas Siswa'!E51 &amp; " " &amp; LOWER($AT$4) &amp; " " &amp; VLOOKUP(AR52, TP!$AM$5:$AN$24,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TP!$AM$5:$AN$24, 2, 0) &amp; ".",
"")</f>
        <v/>
      </c>
      <c r="AT53" s="61" t="str">
        <f>IFERROR(
   'Identitas Siswa'!E52 &amp; " " &amp; LOWER($AT$4) &amp; " " &amp; VLOOKUP(AR53, TP!$AM$5:$AN$24,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TP!$AM$5:$AN$24, 2, 0) &amp; ".",
"")</f>
        <v/>
      </c>
      <c r="AT54" s="61" t="str">
        <f>IFERROR(
   'Identitas Siswa'!E53 &amp; " " &amp; LOWER($AT$4) &amp; " " &amp; VLOOKUP(AR54, TP!$AM$5:$AN$24,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TP!$AM$5:$AN$24, 2, 0) &amp; ".",
"")</f>
        <v/>
      </c>
      <c r="AT55" s="61" t="str">
        <f>IFERROR(
   'Identitas Siswa'!E54 &amp; " " &amp; LOWER($AT$4) &amp; " " &amp; VLOOKUP(AR55, TP!$AM$5:$AN$24,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TP!$AM$5:$AN$24, 2, 0) &amp; ".",
"")</f>
        <v/>
      </c>
      <c r="AT56" s="61" t="str">
        <f>IFERROR(
   'Identitas Siswa'!E55 &amp; " " &amp; LOWER($AT$4) &amp; " " &amp; VLOOKUP(AR56, TP!$AM$5:$AN$24,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TP!$AM$5:$AN$24, 2, 0) &amp; ".",
"")</f>
        <v/>
      </c>
      <c r="AT57" s="61" t="str">
        <f>IFERROR(
   'Identitas Siswa'!E56 &amp; " " &amp; LOWER($AT$4) &amp; " " &amp; VLOOKUP(AR57, TP!$AM$5:$AN$24,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TP!$AM$5:$AN$24, 2, 0) &amp; ".",
"")</f>
        <v/>
      </c>
      <c r="AT58" s="61" t="str">
        <f>IFERROR(
   'Identitas Siswa'!E57 &amp; " " &amp; LOWER($AT$4) &amp; " " &amp; VLOOKUP(AR58, TP!$AM$5:$AN$24,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TP!$AM$5:$AN$24, 2, 0) &amp; ".",
"")</f>
        <v/>
      </c>
      <c r="AT59" s="61" t="str">
        <f>IFERROR(
   'Identitas Siswa'!E58 &amp; " " &amp; LOWER($AT$4) &amp; " " &amp; VLOOKUP(AR59, TP!$AM$5:$AN$24,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TP!$AM$5:$AN$24, 2, 0) &amp; ".",
"")</f>
        <v/>
      </c>
      <c r="AT60" s="61" t="str">
        <f>IFERROR(
   'Identitas Siswa'!E59 &amp; " " &amp; LOWER($AT$4) &amp; " " &amp; VLOOKUP(AR60, TP!$AM$5:$AN$24,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TP!$AM$5:$AN$24, 2, 0) &amp; ".",
"")</f>
        <v/>
      </c>
      <c r="AT61" s="61" t="str">
        <f>IFERROR(
   'Identitas Siswa'!E60 &amp; " " &amp; LOWER($AT$4) &amp; " " &amp; VLOOKUP(AR61, TP!$AM$5:$AN$24,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TP!$AM$5:$AN$24, 2, 0) &amp; ".",
"")</f>
        <v/>
      </c>
      <c r="AT62" s="61" t="str">
        <f>IFERROR(
   'Identitas Siswa'!E61 &amp; " " &amp; LOWER($AT$4) &amp; " " &amp; VLOOKUP(AR62, TP!$AM$5:$AN$24,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TP!$AM$5:$AN$24, 2, 0) &amp; ".",
"")</f>
        <v/>
      </c>
      <c r="AT63" s="61" t="str">
        <f>IFERROR(
   'Identitas Siswa'!E62 &amp; " " &amp; LOWER($AT$4) &amp; " " &amp; VLOOKUP(AR63, TP!$AM$5:$AN$24,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TP!$AM$5:$AN$24, 2, 0) &amp; ".",
"")</f>
        <v/>
      </c>
      <c r="AT64" s="61" t="str">
        <f>IFERROR(
   'Identitas Siswa'!E63 &amp; " " &amp; LOWER($AT$4) &amp; " " &amp; VLOOKUP(AR64, TP!$AM$5:$AN$24,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TP!$AM$5:$AN$24, 2, 0) &amp; ".",
"")</f>
        <v/>
      </c>
      <c r="AT65" s="61" t="str">
        <f>IFERROR(
   'Identitas Siswa'!E64 &amp; " " &amp; LOWER($AT$4) &amp; " " &amp; VLOOKUP(AR65, TP!$AM$5:$AN$24,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TP!$AM$5:$AN$24, 2, 0) &amp; ".",
"")</f>
        <v/>
      </c>
      <c r="AT66" s="61" t="str">
        <f>IFERROR(
   'Identitas Siswa'!E65 &amp; " " &amp; LOWER($AT$4) &amp; " " &amp; VLOOKUP(AR66, TP!$AM$5:$AN$24,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TP!$AM$5:$AN$24, 2, 0) &amp; ".",
"")</f>
        <v/>
      </c>
      <c r="AT67" s="61" t="str">
        <f>IFERROR(
   'Identitas Siswa'!E66 &amp; " " &amp; LOWER($AT$4) &amp; " " &amp; VLOOKUP(AR67, TP!$AM$5:$AN$24,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TP!$AM$5:$AN$24, 2, 0) &amp; ".",
"")</f>
        <v/>
      </c>
      <c r="AT68" s="61" t="str">
        <f>IFERROR(
   'Identitas Siswa'!E67 &amp; " " &amp; LOWER($AT$4) &amp; " " &amp; VLOOKUP(AR68, TP!$AM$5:$AN$24,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55" priority="32">
      <formula>$C$8=""</formula>
    </cfRule>
  </conditionalFormatting>
  <conditionalFormatting sqref="D9:D68">
    <cfRule type="expression" dxfId="254" priority="31">
      <formula>$D$8=""</formula>
    </cfRule>
  </conditionalFormatting>
  <conditionalFormatting sqref="E9:E68">
    <cfRule type="expression" dxfId="253" priority="30">
      <formula>$E$8=""</formula>
    </cfRule>
  </conditionalFormatting>
  <conditionalFormatting sqref="F9:F68">
    <cfRule type="expression" dxfId="252" priority="29">
      <formula>$F$8=""</formula>
    </cfRule>
  </conditionalFormatting>
  <conditionalFormatting sqref="G9:G68">
    <cfRule type="expression" dxfId="251" priority="28">
      <formula>$G$8=""</formula>
    </cfRule>
  </conditionalFormatting>
  <conditionalFormatting sqref="H9:H68">
    <cfRule type="expression" dxfId="250" priority="27">
      <formula>$H$8=""</formula>
    </cfRule>
  </conditionalFormatting>
  <conditionalFormatting sqref="I9:I68">
    <cfRule type="expression" dxfId="249" priority="26">
      <formula>$I$8=""</formula>
    </cfRule>
  </conditionalFormatting>
  <conditionalFormatting sqref="J9:J68">
    <cfRule type="expression" dxfId="248" priority="25">
      <formula>$J$8=""</formula>
    </cfRule>
  </conditionalFormatting>
  <conditionalFormatting sqref="K9:K68">
    <cfRule type="expression" dxfId="247" priority="24">
      <formula>$K$8=""</formula>
    </cfRule>
  </conditionalFormatting>
  <conditionalFormatting sqref="L9:L68">
    <cfRule type="expression" dxfId="246" priority="23">
      <formula>$L$8=""</formula>
    </cfRule>
  </conditionalFormatting>
  <conditionalFormatting sqref="M9:M68">
    <cfRule type="expression" dxfId="245" priority="22">
      <formula>$M$8=""</formula>
    </cfRule>
  </conditionalFormatting>
  <conditionalFormatting sqref="N9:N68">
    <cfRule type="expression" dxfId="244" priority="21">
      <formula>$N$8=""</formula>
    </cfRule>
  </conditionalFormatting>
  <conditionalFormatting sqref="O9:O68">
    <cfRule type="expression" dxfId="243" priority="20">
      <formula>$O$8=""</formula>
    </cfRule>
  </conditionalFormatting>
  <conditionalFormatting sqref="P9:P68">
    <cfRule type="expression" dxfId="242" priority="19">
      <formula>$P$8=""</formula>
    </cfRule>
  </conditionalFormatting>
  <conditionalFormatting sqref="Q9:Q68">
    <cfRule type="expression" dxfId="241" priority="18">
      <formula>$Q$8=""</formula>
    </cfRule>
  </conditionalFormatting>
  <conditionalFormatting sqref="R9:R68">
    <cfRule type="expression" dxfId="240" priority="17">
      <formula>$R$8=""</formula>
    </cfRule>
  </conditionalFormatting>
  <conditionalFormatting sqref="S9:S68">
    <cfRule type="expression" dxfId="239" priority="16">
      <formula>$S$8=""</formula>
    </cfRule>
  </conditionalFormatting>
  <conditionalFormatting sqref="T9:T68">
    <cfRule type="expression" dxfId="238" priority="15">
      <formula>$T$8=""</formula>
    </cfRule>
  </conditionalFormatting>
  <conditionalFormatting sqref="U9:U68">
    <cfRule type="expression" dxfId="237" priority="14">
      <formula>$U$8=""</formula>
    </cfRule>
  </conditionalFormatting>
  <conditionalFormatting sqref="V9:V68">
    <cfRule type="expression" dxfId="236" priority="13">
      <formula>$V$8=""</formula>
    </cfRule>
  </conditionalFormatting>
  <conditionalFormatting sqref="W9:W68">
    <cfRule type="expression" dxfId="235" priority="12">
      <formula>$W$8=""</formula>
    </cfRule>
  </conditionalFormatting>
  <conditionalFormatting sqref="X9:X68">
    <cfRule type="expression" dxfId="234" priority="11">
      <formula>$X$8=""</formula>
    </cfRule>
  </conditionalFormatting>
  <conditionalFormatting sqref="Y9:Y68">
    <cfRule type="expression" dxfId="233" priority="10">
      <formula>$Y$8=""</formula>
    </cfRule>
  </conditionalFormatting>
  <conditionalFormatting sqref="Z9:Z68">
    <cfRule type="expression" dxfId="232" priority="9">
      <formula>$Z$8=""</formula>
    </cfRule>
  </conditionalFormatting>
  <conditionalFormatting sqref="AA9:AA68">
    <cfRule type="expression" dxfId="231" priority="8">
      <formula>$AA$8=""</formula>
    </cfRule>
  </conditionalFormatting>
  <conditionalFormatting sqref="AB9:AB68">
    <cfRule type="expression" dxfId="230" priority="7">
      <formula>$AB$8=""</formula>
    </cfRule>
  </conditionalFormatting>
  <conditionalFormatting sqref="AC9:AC68">
    <cfRule type="expression" dxfId="229" priority="6">
      <formula>$AC$8=""</formula>
    </cfRule>
  </conditionalFormatting>
  <conditionalFormatting sqref="AD9:AD68">
    <cfRule type="expression" dxfId="228" priority="5">
      <formula>$AD$8=""</formula>
    </cfRule>
  </conditionalFormatting>
  <conditionalFormatting sqref="AE9:AE68">
    <cfRule type="expression" dxfId="227" priority="4">
      <formula>$AE$8=""</formula>
    </cfRule>
  </conditionalFormatting>
  <conditionalFormatting sqref="AF9:AF68">
    <cfRule type="expression" dxfId="226" priority="3">
      <formula>$AF$8=""</formula>
    </cfRule>
  </conditionalFormatting>
  <conditionalFormatting sqref="AG9:AG68">
    <cfRule type="expression" dxfId="225" priority="2">
      <formula>$AG$8=""</formula>
    </cfRule>
  </conditionalFormatting>
  <conditionalFormatting sqref="AH9:AH68">
    <cfRule type="expression" dxfId="22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C1F4-F199-4B4F-9488-99406485E9C9}">
  <sheetPr codeName="Sheet15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IF(TRANSPOSE(TP!AQ5:AQ24)="", "", TRANSPOSE(TP!AQ5:AQ24))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IF(TRANSPOSE(TP!AP5:AP16)="", "", TRANSPOSE(TP!AP5:AP16))</f>
        <v>Permainan Bola Besar</v>
      </c>
      <c r="X8" s="53" t="str">
        <v>Permainan Bola Kecil</v>
      </c>
      <c r="Y8" s="54" t="str">
        <v>Kombinasi Gerak</v>
      </c>
      <c r="Z8" s="54" t="str">
        <v>Gerak Dasar Bela Diri</v>
      </c>
      <c r="AA8" s="54" t="str">
        <v>Latihan Daya Tahan</v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TP!$AQ$5:$AR$24, 2, 0) &amp; ".",
"")</f>
        <v>Abhy menunjukkan penguasaan dalam memahami kombinasi gerak dalam permainan bola besar.</v>
      </c>
      <c r="AT9" s="61" t="str">
        <f>IFERROR(
   'Identitas Siswa'!E8 &amp; " " &amp; LOWER($AT$4) &amp; " " &amp; VLOOKUP(AR9, TP!$AQ$5:$AR$24, 2, 0) &amp; ".",
"")</f>
        <v>Abhy perlu bimbingan dalam memahami kombinasi gerak dalam permainan bola besar.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TP!$AQ$5:$AR$24, 2, 0) &amp; ".",
"")</f>
        <v>aku menunjukkan penguasaan dalam memahami kombinasi gerak dalam permainan bola besar.</v>
      </c>
      <c r="AT10" s="61" t="str">
        <f>IFERROR(
   'Identitas Siswa'!E9 &amp; " " &amp; LOWER($AT$4) &amp; " " &amp; VLOOKUP(AR10, TP!$AQ$5:$AR$24, 2, 0) &amp; ".",
"")</f>
        <v>aku perlu bimbingan dalam memahami kombinasi gerak dalam permainan bola besar.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TP!$AQ$5:$AR$24, 2, 0) &amp; ".",
"")</f>
        <v/>
      </c>
      <c r="AT11" s="61" t="str">
        <f>IFERROR(
   'Identitas Siswa'!E10 &amp; " " &amp; LOWER($AT$4) &amp; " " &amp; VLOOKUP(AR11, TP!$AQ$5:$AR$24,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TP!$AQ$5:$AR$24, 2, 0) &amp; ".",
"")</f>
        <v/>
      </c>
      <c r="AT12" s="61" t="str">
        <f>IFERROR(
   'Identitas Siswa'!E11 &amp; " " &amp; LOWER($AT$4) &amp; " " &amp; VLOOKUP(AR12, TP!$AQ$5:$AR$24,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TP!$AQ$5:$AR$24, 2, 0) &amp; ".",
"")</f>
        <v/>
      </c>
      <c r="AT13" s="61" t="str">
        <f>IFERROR(
   'Identitas Siswa'!E12 &amp; " " &amp; LOWER($AT$4) &amp; " " &amp; VLOOKUP(AR13, TP!$AQ$5:$AR$24,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TP!$AQ$5:$AR$24, 2, 0) &amp; ".",
"")</f>
        <v/>
      </c>
      <c r="AT14" s="61" t="str">
        <f>IFERROR(
   'Identitas Siswa'!E13 &amp; " " &amp; LOWER($AT$4) &amp; " " &amp; VLOOKUP(AR14, TP!$AQ$5:$AR$24,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TP!$AQ$5:$AR$24, 2, 0) &amp; ".",
"")</f>
        <v/>
      </c>
      <c r="AT15" s="61" t="str">
        <f>IFERROR(
   'Identitas Siswa'!E14 &amp; " " &amp; LOWER($AT$4) &amp; " " &amp; VLOOKUP(AR15, TP!$AQ$5:$AR$24,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TP!$AQ$5:$AR$24, 2, 0) &amp; ".",
"")</f>
        <v/>
      </c>
      <c r="AT16" s="61" t="str">
        <f>IFERROR(
   'Identitas Siswa'!E15 &amp; " " &amp; LOWER($AT$4) &amp; " " &amp; VLOOKUP(AR16, TP!$AQ$5:$AR$24,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TP!$AQ$5:$AR$24, 2, 0) &amp; ".",
"")</f>
        <v/>
      </c>
      <c r="AT17" s="61" t="str">
        <f>IFERROR(
   'Identitas Siswa'!E16 &amp; " " &amp; LOWER($AT$4) &amp; " " &amp; VLOOKUP(AR17, TP!$AQ$5:$AR$24,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TP!$AQ$5:$AR$24, 2, 0) &amp; ".",
"")</f>
        <v/>
      </c>
      <c r="AT18" s="61" t="str">
        <f>IFERROR(
   'Identitas Siswa'!E17 &amp; " " &amp; LOWER($AT$4) &amp; " " &amp; VLOOKUP(AR18, TP!$AQ$5:$AR$24,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TP!$AQ$5:$AR$24, 2, 0) &amp; ".",
"")</f>
        <v/>
      </c>
      <c r="AT19" s="61" t="str">
        <f>IFERROR(
   'Identitas Siswa'!E18 &amp; " " &amp; LOWER($AT$4) &amp; " " &amp; VLOOKUP(AR19, TP!$AQ$5:$AR$24,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TP!$AQ$5:$AR$24, 2, 0) &amp; ".",
"")</f>
        <v/>
      </c>
      <c r="AT20" s="61" t="str">
        <f>IFERROR(
   'Identitas Siswa'!E19 &amp; " " &amp; LOWER($AT$4) &amp; " " &amp; VLOOKUP(AR20, TP!$AQ$5:$AR$24,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TP!$AQ$5:$AR$24, 2, 0) &amp; ".",
"")</f>
        <v/>
      </c>
      <c r="AT21" s="61" t="str">
        <f>IFERROR(
   'Identitas Siswa'!E20 &amp; " " &amp; LOWER($AT$4) &amp; " " &amp; VLOOKUP(AR21, TP!$AQ$5:$AR$24,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TP!$AQ$5:$AR$24, 2, 0) &amp; ".",
"")</f>
        <v/>
      </c>
      <c r="AT22" s="61" t="str">
        <f>IFERROR(
   'Identitas Siswa'!E21 &amp; " " &amp; LOWER($AT$4) &amp; " " &amp; VLOOKUP(AR22, TP!$AQ$5:$AR$24,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TP!$AQ$5:$AR$24, 2, 0) &amp; ".",
"")</f>
        <v/>
      </c>
      <c r="AT23" s="61" t="str">
        <f>IFERROR(
   'Identitas Siswa'!E22 &amp; " " &amp; LOWER($AT$4) &amp; " " &amp; VLOOKUP(AR23, TP!$AQ$5:$AR$24,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TP!$AQ$5:$AR$24, 2, 0) &amp; ".",
"")</f>
        <v/>
      </c>
      <c r="AT24" s="61" t="str">
        <f>IFERROR(
   'Identitas Siswa'!E23 &amp; " " &amp; LOWER($AT$4) &amp; " " &amp; VLOOKUP(AR24, TP!$AQ$5:$AR$24,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TP!$AQ$5:$AR$24, 2, 0) &amp; ".",
"")</f>
        <v/>
      </c>
      <c r="AT25" s="61" t="str">
        <f>IFERROR(
   'Identitas Siswa'!E24 &amp; " " &amp; LOWER($AT$4) &amp; " " &amp; VLOOKUP(AR25, TP!$AQ$5:$AR$24,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TP!$AQ$5:$AR$24, 2, 0) &amp; ".",
"")</f>
        <v/>
      </c>
      <c r="AT26" s="61" t="str">
        <f>IFERROR(
   'Identitas Siswa'!E25 &amp; " " &amp; LOWER($AT$4) &amp; " " &amp; VLOOKUP(AR26, TP!$AQ$5:$AR$24,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TP!$AQ$5:$AR$24, 2, 0) &amp; ".",
"")</f>
        <v/>
      </c>
      <c r="AT27" s="61" t="str">
        <f>IFERROR(
   'Identitas Siswa'!E26 &amp; " " &amp; LOWER($AT$4) &amp; " " &amp; VLOOKUP(AR27, TP!$AQ$5:$AR$24,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TP!$AQ$5:$AR$24, 2, 0) &amp; ".",
"")</f>
        <v/>
      </c>
      <c r="AT28" s="61" t="str">
        <f>IFERROR(
   'Identitas Siswa'!E27 &amp; " " &amp; LOWER($AT$4) &amp; " " &amp; VLOOKUP(AR28, TP!$AQ$5:$AR$24,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TP!$AQ$5:$AR$24, 2, 0) &amp; ".",
"")</f>
        <v/>
      </c>
      <c r="AT29" s="61" t="str">
        <f>IFERROR(
   'Identitas Siswa'!E28 &amp; " " &amp; LOWER($AT$4) &amp; " " &amp; VLOOKUP(AR29, TP!$AQ$5:$AR$24,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TP!$AQ$5:$AR$24, 2, 0) &amp; ".",
"")</f>
        <v/>
      </c>
      <c r="AT30" s="61" t="str">
        <f>IFERROR(
   'Identitas Siswa'!E29 &amp; " " &amp; LOWER($AT$4) &amp; " " &amp; VLOOKUP(AR30, TP!$AQ$5:$AR$24,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TP!$AQ$5:$AR$24, 2, 0) &amp; ".",
"")</f>
        <v/>
      </c>
      <c r="AT31" s="61" t="str">
        <f>IFERROR(
   'Identitas Siswa'!E30 &amp; " " &amp; LOWER($AT$4) &amp; " " &amp; VLOOKUP(AR31, TP!$AQ$5:$AR$24,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TP!$AQ$5:$AR$24, 2, 0) &amp; ".",
"")</f>
        <v/>
      </c>
      <c r="AT32" s="61" t="str">
        <f>IFERROR(
   'Identitas Siswa'!E31 &amp; " " &amp; LOWER($AT$4) &amp; " " &amp; VLOOKUP(AR32, TP!$AQ$5:$AR$24,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TP!$AQ$5:$AR$24, 2, 0) &amp; ".",
"")</f>
        <v/>
      </c>
      <c r="AT33" s="61" t="str">
        <f>IFERROR(
   'Identitas Siswa'!E32 &amp; " " &amp; LOWER($AT$4) &amp; " " &amp; VLOOKUP(AR33, TP!$AQ$5:$AR$24,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TP!$AQ$5:$AR$24, 2, 0) &amp; ".",
"")</f>
        <v/>
      </c>
      <c r="AT34" s="61" t="str">
        <f>IFERROR(
   'Identitas Siswa'!E33 &amp; " " &amp; LOWER($AT$4) &amp; " " &amp; VLOOKUP(AR34, TP!$AQ$5:$AR$24,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TP!$AQ$5:$AR$24, 2, 0) &amp; ".",
"")</f>
        <v/>
      </c>
      <c r="AT35" s="61" t="str">
        <f>IFERROR(
   'Identitas Siswa'!E34 &amp; " " &amp; LOWER($AT$4) &amp; " " &amp; VLOOKUP(AR35, TP!$AQ$5:$AR$24,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TP!$AQ$5:$AR$24, 2, 0) &amp; ".",
"")</f>
        <v/>
      </c>
      <c r="AT36" s="61" t="str">
        <f>IFERROR(
   'Identitas Siswa'!E35 &amp; " " &amp; LOWER($AT$4) &amp; " " &amp; VLOOKUP(AR36, TP!$AQ$5:$AR$24,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TP!$AQ$5:$AR$24, 2, 0) &amp; ".",
"")</f>
        <v/>
      </c>
      <c r="AT37" s="61" t="str">
        <f>IFERROR(
   'Identitas Siswa'!E36 &amp; " " &amp; LOWER($AT$4) &amp; " " &amp; VLOOKUP(AR37, TP!$AQ$5:$AR$24,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TP!$AQ$5:$AR$24, 2, 0) &amp; ".",
"")</f>
        <v/>
      </c>
      <c r="AT38" s="61" t="str">
        <f>IFERROR(
   'Identitas Siswa'!E37 &amp; " " &amp; LOWER($AT$4) &amp; " " &amp; VLOOKUP(AR38, TP!$AQ$5:$AR$24,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TP!$AQ$5:$AR$24, 2, 0) &amp; ".",
"")</f>
        <v/>
      </c>
      <c r="AT39" s="61" t="str">
        <f>IFERROR(
   'Identitas Siswa'!E38 &amp; " " &amp; LOWER($AT$4) &amp; " " &amp; VLOOKUP(AR39, TP!$AQ$5:$AR$24,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TP!$AQ$5:$AR$24, 2, 0) &amp; ".",
"")</f>
        <v/>
      </c>
      <c r="AT40" s="61" t="str">
        <f>IFERROR(
   'Identitas Siswa'!E39 &amp; " " &amp; LOWER($AT$4) &amp; " " &amp; VLOOKUP(AR40, TP!$AQ$5:$AR$24,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TP!$AQ$5:$AR$24, 2, 0) &amp; ".",
"")</f>
        <v/>
      </c>
      <c r="AT41" s="61" t="str">
        <f>IFERROR(
   'Identitas Siswa'!E40 &amp; " " &amp; LOWER($AT$4) &amp; " " &amp; VLOOKUP(AR41, TP!$AQ$5:$AR$24,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TP!$AQ$5:$AR$24, 2, 0) &amp; ".",
"")</f>
        <v/>
      </c>
      <c r="AT42" s="61" t="str">
        <f>IFERROR(
   'Identitas Siswa'!E41 &amp; " " &amp; LOWER($AT$4) &amp; " " &amp; VLOOKUP(AR42, TP!$AQ$5:$AR$24,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TP!$AQ$5:$AR$24, 2, 0) &amp; ".",
"")</f>
        <v/>
      </c>
      <c r="AT43" s="61" t="str">
        <f>IFERROR(
   'Identitas Siswa'!E42 &amp; " " &amp; LOWER($AT$4) &amp; " " &amp; VLOOKUP(AR43, TP!$AQ$5:$AR$24,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TP!$AQ$5:$AR$24, 2, 0) &amp; ".",
"")</f>
        <v/>
      </c>
      <c r="AT44" s="61" t="str">
        <f>IFERROR(
   'Identitas Siswa'!E43 &amp; " " &amp; LOWER($AT$4) &amp; " " &amp; VLOOKUP(AR44, TP!$AQ$5:$AR$24,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TP!$AQ$5:$AR$24, 2, 0) &amp; ".",
"")</f>
        <v/>
      </c>
      <c r="AT45" s="61" t="str">
        <f>IFERROR(
   'Identitas Siswa'!E44 &amp; " " &amp; LOWER($AT$4) &amp; " " &amp; VLOOKUP(AR45, TP!$AQ$5:$AR$24,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TP!$AQ$5:$AR$24, 2, 0) &amp; ".",
"")</f>
        <v/>
      </c>
      <c r="AT46" s="61" t="str">
        <f>IFERROR(
   'Identitas Siswa'!E45 &amp; " " &amp; LOWER($AT$4) &amp; " " &amp; VLOOKUP(AR46, TP!$AQ$5:$AR$24,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TP!$AQ$5:$AR$24, 2, 0) &amp; ".",
"")</f>
        <v/>
      </c>
      <c r="AT47" s="61" t="str">
        <f>IFERROR(
   'Identitas Siswa'!E46 &amp; " " &amp; LOWER($AT$4) &amp; " " &amp; VLOOKUP(AR47, TP!$AQ$5:$AR$24,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TP!$AQ$5:$AR$24, 2, 0) &amp; ".",
"")</f>
        <v/>
      </c>
      <c r="AT48" s="61" t="str">
        <f>IFERROR(
   'Identitas Siswa'!E47 &amp; " " &amp; LOWER($AT$4) &amp; " " &amp; VLOOKUP(AR48, TP!$AQ$5:$AR$24,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TP!$AQ$5:$AR$24, 2, 0) &amp; ".",
"")</f>
        <v/>
      </c>
      <c r="AT49" s="61" t="str">
        <f>IFERROR(
   'Identitas Siswa'!E48 &amp; " " &amp; LOWER($AT$4) &amp; " " &amp; VLOOKUP(AR49, TP!$AQ$5:$AR$24,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TP!$AQ$5:$AR$24, 2, 0) &amp; ".",
"")</f>
        <v/>
      </c>
      <c r="AT50" s="61" t="str">
        <f>IFERROR(
   'Identitas Siswa'!E49 &amp; " " &amp; LOWER($AT$4) &amp; " " &amp; VLOOKUP(AR50, TP!$AQ$5:$AR$24,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TP!$AQ$5:$AR$24, 2, 0) &amp; ".",
"")</f>
        <v/>
      </c>
      <c r="AT51" s="61" t="str">
        <f>IFERROR(
   'Identitas Siswa'!E50 &amp; " " &amp; LOWER($AT$4) &amp; " " &amp; VLOOKUP(AR51, TP!$AQ$5:$AR$24,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TP!$AQ$5:$AR$24, 2, 0) &amp; ".",
"")</f>
        <v/>
      </c>
      <c r="AT52" s="61" t="str">
        <f>IFERROR(
   'Identitas Siswa'!E51 &amp; " " &amp; LOWER($AT$4) &amp; " " &amp; VLOOKUP(AR52, TP!$AQ$5:$AR$24,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TP!$AQ$5:$AR$24, 2, 0) &amp; ".",
"")</f>
        <v/>
      </c>
      <c r="AT53" s="61" t="str">
        <f>IFERROR(
   'Identitas Siswa'!E52 &amp; " " &amp; LOWER($AT$4) &amp; " " &amp; VLOOKUP(AR53, TP!$AQ$5:$AR$24,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TP!$AQ$5:$AR$24, 2, 0) &amp; ".",
"")</f>
        <v/>
      </c>
      <c r="AT54" s="61" t="str">
        <f>IFERROR(
   'Identitas Siswa'!E53 &amp; " " &amp; LOWER($AT$4) &amp; " " &amp; VLOOKUP(AR54, TP!$AQ$5:$AR$24,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TP!$AQ$5:$AR$24, 2, 0) &amp; ".",
"")</f>
        <v/>
      </c>
      <c r="AT55" s="61" t="str">
        <f>IFERROR(
   'Identitas Siswa'!E54 &amp; " " &amp; LOWER($AT$4) &amp; " " &amp; VLOOKUP(AR55, TP!$AQ$5:$AR$24,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TP!$AQ$5:$AR$24, 2, 0) &amp; ".",
"")</f>
        <v/>
      </c>
      <c r="AT56" s="61" t="str">
        <f>IFERROR(
   'Identitas Siswa'!E55 &amp; " " &amp; LOWER($AT$4) &amp; " " &amp; VLOOKUP(AR56, TP!$AQ$5:$AR$24,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TP!$AQ$5:$AR$24, 2, 0) &amp; ".",
"")</f>
        <v/>
      </c>
      <c r="AT57" s="61" t="str">
        <f>IFERROR(
   'Identitas Siswa'!E56 &amp; " " &amp; LOWER($AT$4) &amp; " " &amp; VLOOKUP(AR57, TP!$AQ$5:$AR$24,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TP!$AQ$5:$AR$24, 2, 0) &amp; ".",
"")</f>
        <v/>
      </c>
      <c r="AT58" s="61" t="str">
        <f>IFERROR(
   'Identitas Siswa'!E57 &amp; " " &amp; LOWER($AT$4) &amp; " " &amp; VLOOKUP(AR58, TP!$AQ$5:$AR$24,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TP!$AQ$5:$AR$24, 2, 0) &amp; ".",
"")</f>
        <v/>
      </c>
      <c r="AT59" s="61" t="str">
        <f>IFERROR(
   'Identitas Siswa'!E58 &amp; " " &amp; LOWER($AT$4) &amp; " " &amp; VLOOKUP(AR59, TP!$AQ$5:$AR$24,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TP!$AQ$5:$AR$24, 2, 0) &amp; ".",
"")</f>
        <v/>
      </c>
      <c r="AT60" s="61" t="str">
        <f>IFERROR(
   'Identitas Siswa'!E59 &amp; " " &amp; LOWER($AT$4) &amp; " " &amp; VLOOKUP(AR60, TP!$AQ$5:$AR$24,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TP!$AQ$5:$AR$24, 2, 0) &amp; ".",
"")</f>
        <v/>
      </c>
      <c r="AT61" s="61" t="str">
        <f>IFERROR(
   'Identitas Siswa'!E60 &amp; " " &amp; LOWER($AT$4) &amp; " " &amp; VLOOKUP(AR61, TP!$AQ$5:$AR$24,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TP!$AQ$5:$AR$24, 2, 0) &amp; ".",
"")</f>
        <v/>
      </c>
      <c r="AT62" s="61" t="str">
        <f>IFERROR(
   'Identitas Siswa'!E61 &amp; " " &amp; LOWER($AT$4) &amp; " " &amp; VLOOKUP(AR62, TP!$AQ$5:$AR$24,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TP!$AQ$5:$AR$24, 2, 0) &amp; ".",
"")</f>
        <v/>
      </c>
      <c r="AT63" s="61" t="str">
        <f>IFERROR(
   'Identitas Siswa'!E62 &amp; " " &amp; LOWER($AT$4) &amp; " " &amp; VLOOKUP(AR63, TP!$AQ$5:$AR$24,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TP!$AQ$5:$AR$24, 2, 0) &amp; ".",
"")</f>
        <v/>
      </c>
      <c r="AT64" s="61" t="str">
        <f>IFERROR(
   'Identitas Siswa'!E63 &amp; " " &amp; LOWER($AT$4) &amp; " " &amp; VLOOKUP(AR64, TP!$AQ$5:$AR$24,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TP!$AQ$5:$AR$24, 2, 0) &amp; ".",
"")</f>
        <v/>
      </c>
      <c r="AT65" s="61" t="str">
        <f>IFERROR(
   'Identitas Siswa'!E64 &amp; " " &amp; LOWER($AT$4) &amp; " " &amp; VLOOKUP(AR65, TP!$AQ$5:$AR$24,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TP!$AQ$5:$AR$24, 2, 0) &amp; ".",
"")</f>
        <v/>
      </c>
      <c r="AT66" s="61" t="str">
        <f>IFERROR(
   'Identitas Siswa'!E65 &amp; " " &amp; LOWER($AT$4) &amp; " " &amp; VLOOKUP(AR66, TP!$AQ$5:$AR$24,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TP!$AQ$5:$AR$24, 2, 0) &amp; ".",
"")</f>
        <v/>
      </c>
      <c r="AT67" s="61" t="str">
        <f>IFERROR(
   'Identitas Siswa'!E66 &amp; " " &amp; LOWER($AT$4) &amp; " " &amp; VLOOKUP(AR67, TP!$AQ$5:$AR$24,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TP!$AQ$5:$AR$24, 2, 0) &amp; ".",
"")</f>
        <v/>
      </c>
      <c r="AT68" s="61" t="str">
        <f>IFERROR(
   'Identitas Siswa'!E67 &amp; " " &amp; LOWER($AT$4) &amp; " " &amp; VLOOKUP(AR68, TP!$AQ$5:$AR$24,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23" priority="32">
      <formula>$C$8=""</formula>
    </cfRule>
  </conditionalFormatting>
  <conditionalFormatting sqref="D9:D68">
    <cfRule type="expression" dxfId="222" priority="31">
      <formula>$D$8=""</formula>
    </cfRule>
  </conditionalFormatting>
  <conditionalFormatting sqref="E9:E68">
    <cfRule type="expression" dxfId="221" priority="30">
      <formula>$E$8=""</formula>
    </cfRule>
  </conditionalFormatting>
  <conditionalFormatting sqref="F9:F68">
    <cfRule type="expression" dxfId="220" priority="29">
      <formula>$F$8=""</formula>
    </cfRule>
  </conditionalFormatting>
  <conditionalFormatting sqref="G9:G68">
    <cfRule type="expression" dxfId="219" priority="28">
      <formula>$G$8=""</formula>
    </cfRule>
  </conditionalFormatting>
  <conditionalFormatting sqref="H9:H68">
    <cfRule type="expression" dxfId="218" priority="27">
      <formula>$H$8=""</formula>
    </cfRule>
  </conditionalFormatting>
  <conditionalFormatting sqref="I9:I68">
    <cfRule type="expression" dxfId="217" priority="26">
      <formula>$I$8=""</formula>
    </cfRule>
  </conditionalFormatting>
  <conditionalFormatting sqref="J9:J68">
    <cfRule type="expression" dxfId="216" priority="25">
      <formula>$J$8=""</formula>
    </cfRule>
  </conditionalFormatting>
  <conditionalFormatting sqref="K9:K68">
    <cfRule type="expression" dxfId="215" priority="24">
      <formula>$K$8=""</formula>
    </cfRule>
  </conditionalFormatting>
  <conditionalFormatting sqref="L9:L68">
    <cfRule type="expression" dxfId="214" priority="23">
      <formula>$L$8=""</formula>
    </cfRule>
  </conditionalFormatting>
  <conditionalFormatting sqref="M9:M68">
    <cfRule type="expression" dxfId="213" priority="22">
      <formula>$M$8=""</formula>
    </cfRule>
  </conditionalFormatting>
  <conditionalFormatting sqref="N9:N68">
    <cfRule type="expression" dxfId="212" priority="21">
      <formula>$N$8=""</formula>
    </cfRule>
  </conditionalFormatting>
  <conditionalFormatting sqref="O9:O68">
    <cfRule type="expression" dxfId="211" priority="20">
      <formula>$O$8=""</formula>
    </cfRule>
  </conditionalFormatting>
  <conditionalFormatting sqref="P9:P68">
    <cfRule type="expression" dxfId="210" priority="19">
      <formula>$P$8=""</formula>
    </cfRule>
  </conditionalFormatting>
  <conditionalFormatting sqref="Q9:Q68">
    <cfRule type="expression" dxfId="209" priority="18">
      <formula>$Q$8=""</formula>
    </cfRule>
  </conditionalFormatting>
  <conditionalFormatting sqref="R9:R68">
    <cfRule type="expression" dxfId="208" priority="17">
      <formula>$R$8=""</formula>
    </cfRule>
  </conditionalFormatting>
  <conditionalFormatting sqref="S9:S68">
    <cfRule type="expression" dxfId="207" priority="16">
      <formula>$S$8=""</formula>
    </cfRule>
  </conditionalFormatting>
  <conditionalFormatting sqref="T9:T68">
    <cfRule type="expression" dxfId="206" priority="15">
      <formula>$T$8=""</formula>
    </cfRule>
  </conditionalFormatting>
  <conditionalFormatting sqref="U9:U68">
    <cfRule type="expression" dxfId="205" priority="14">
      <formula>$U$8=""</formula>
    </cfRule>
  </conditionalFormatting>
  <conditionalFormatting sqref="V9:V68">
    <cfRule type="expression" dxfId="204" priority="13">
      <formula>$V$8=""</formula>
    </cfRule>
  </conditionalFormatting>
  <conditionalFormatting sqref="W9:W68">
    <cfRule type="expression" dxfId="203" priority="12">
      <formula>$W$8=""</formula>
    </cfRule>
  </conditionalFormatting>
  <conditionalFormatting sqref="X9:X68">
    <cfRule type="expression" dxfId="202" priority="11">
      <formula>$X$8=""</formula>
    </cfRule>
  </conditionalFormatting>
  <conditionalFormatting sqref="Y9:Y68">
    <cfRule type="expression" dxfId="201" priority="10">
      <formula>$Y$8=""</formula>
    </cfRule>
  </conditionalFormatting>
  <conditionalFormatting sqref="Z9:Z68">
    <cfRule type="expression" dxfId="200" priority="9">
      <formula>$Z$8=""</formula>
    </cfRule>
  </conditionalFormatting>
  <conditionalFormatting sqref="AA9:AA68">
    <cfRule type="expression" dxfId="199" priority="8">
      <formula>$AA$8=""</formula>
    </cfRule>
  </conditionalFormatting>
  <conditionalFormatting sqref="AB9:AB68">
    <cfRule type="expression" dxfId="198" priority="7">
      <formula>$AB$8=""</formula>
    </cfRule>
  </conditionalFormatting>
  <conditionalFormatting sqref="AC9:AC68">
    <cfRule type="expression" dxfId="197" priority="6">
      <formula>$AC$8=""</formula>
    </cfRule>
  </conditionalFormatting>
  <conditionalFormatting sqref="AD9:AD68">
    <cfRule type="expression" dxfId="196" priority="5">
      <formula>$AD$8=""</formula>
    </cfRule>
  </conditionalFormatting>
  <conditionalFormatting sqref="AE9:AE68">
    <cfRule type="expression" dxfId="195" priority="4">
      <formula>$AE$8=""</formula>
    </cfRule>
  </conditionalFormatting>
  <conditionalFormatting sqref="AF9:AF68">
    <cfRule type="expression" dxfId="194" priority="3">
      <formula>$AF$8=""</formula>
    </cfRule>
  </conditionalFormatting>
  <conditionalFormatting sqref="AG9:AG68">
    <cfRule type="expression" dxfId="193" priority="2">
      <formula>$AG$8=""</formula>
    </cfRule>
  </conditionalFormatting>
  <conditionalFormatting sqref="AH9:AH68">
    <cfRule type="expression" dxfId="19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7DB-F820-476D-B33A-BF0B238AD7CA}">
  <sheetPr codeName="Sheet16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IF(TRANSPOSE(TP!AU5:AU24)="", "", TRANSPOSE(TP!AU5:AU24))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IF(TRANSPOSE(TP!AT5:AT16)="", "", TRANSPOSE(TP!AT5:AT16))</f>
        <v>What delicious bakso!</v>
      </c>
      <c r="X8" s="53" t="str">
        <v>I want an ice cream cone</v>
      </c>
      <c r="Y8" s="54" t="str">
        <v>How much is it?</v>
      </c>
      <c r="Z8" s="54" t="str">
        <v>Do you have a stomachache?</v>
      </c>
      <c r="AA8" s="54" t="str">
        <v>What a nice skirt!</v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TP!$AU$5:$AV$24, 2, 0) &amp; ".",
"")</f>
        <v>Abhy menunjukkan penguasaan dalam mengidentifikasi dan menyebutkan beberapa rasa pada makanan dan minuman.</v>
      </c>
      <c r="AT9" s="61" t="str">
        <f>IFERROR(
   'Identitas Siswa'!E8 &amp; " " &amp; LOWER($AT$4) &amp; " " &amp; VLOOKUP(AR9, TP!$AU$5:$AV$24, 2, 0) &amp; ".",
"")</f>
        <v>Abhy perlu bimbingan dalam mengidentifikasi dan menyebutkan beberapa rasa pada makanan dan minuman.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36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TP!$AU$5:$AV$24, 2, 0) &amp; ".",
"")</f>
        <v>aku menunjukkan penguasaan dalam mengidentifikasi dan menyebutkan beberapa rasa pada makanan dan minuman.</v>
      </c>
      <c r="AT10" s="61" t="str">
        <f>IFERROR(
   'Identitas Siswa'!E9 &amp; " " &amp; LOWER($AT$4) &amp; " " &amp; VLOOKUP(AR10, TP!$AU$5:$AV$24, 2, 0) &amp; ".",
"")</f>
        <v>aku perlu bimbingan dalam mengidentifikasi dan menyebutkan beberapa rasa pada makanan dan minuman.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TP!$AU$5:$AV$24, 2, 0) &amp; ".",
"")</f>
        <v/>
      </c>
      <c r="AT11" s="61" t="str">
        <f>IFERROR(
   'Identitas Siswa'!E10 &amp; " " &amp; LOWER($AT$4) &amp; " " &amp; VLOOKUP(AR11, TP!$AU$5:$AV$24,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TP!$AU$5:$AV$24, 2, 0) &amp; ".",
"")</f>
        <v/>
      </c>
      <c r="AT12" s="61" t="str">
        <f>IFERROR(
   'Identitas Siswa'!E11 &amp; " " &amp; LOWER($AT$4) &amp; " " &amp; VLOOKUP(AR12, TP!$AU$5:$AV$24,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TP!$AU$5:$AV$24, 2, 0) &amp; ".",
"")</f>
        <v/>
      </c>
      <c r="AT13" s="61" t="str">
        <f>IFERROR(
   'Identitas Siswa'!E12 &amp; " " &amp; LOWER($AT$4) &amp; " " &amp; VLOOKUP(AR13, TP!$AU$5:$AV$24,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TP!$AU$5:$AV$24, 2, 0) &amp; ".",
"")</f>
        <v/>
      </c>
      <c r="AT14" s="61" t="str">
        <f>IFERROR(
   'Identitas Siswa'!E13 &amp; " " &amp; LOWER($AT$4) &amp; " " &amp; VLOOKUP(AR14, TP!$AU$5:$AV$24,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TP!$AU$5:$AV$24, 2, 0) &amp; ".",
"")</f>
        <v/>
      </c>
      <c r="AT15" s="61" t="str">
        <f>IFERROR(
   'Identitas Siswa'!E14 &amp; " " &amp; LOWER($AT$4) &amp; " " &amp; VLOOKUP(AR15, TP!$AU$5:$AV$24,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TP!$AU$5:$AV$24, 2, 0) &amp; ".",
"")</f>
        <v/>
      </c>
      <c r="AT16" s="61" t="str">
        <f>IFERROR(
   'Identitas Siswa'!E15 &amp; " " &amp; LOWER($AT$4) &amp; " " &amp; VLOOKUP(AR16, TP!$AU$5:$AV$24,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TP!$AU$5:$AV$24, 2, 0) &amp; ".",
"")</f>
        <v/>
      </c>
      <c r="AT17" s="61" t="str">
        <f>IFERROR(
   'Identitas Siswa'!E16 &amp; " " &amp; LOWER($AT$4) &amp; " " &amp; VLOOKUP(AR17, TP!$AU$5:$AV$24,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TP!$AU$5:$AV$24, 2, 0) &amp; ".",
"")</f>
        <v/>
      </c>
      <c r="AT18" s="61" t="str">
        <f>IFERROR(
   'Identitas Siswa'!E17 &amp; " " &amp; LOWER($AT$4) &amp; " " &amp; VLOOKUP(AR18, TP!$AU$5:$AV$24,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TP!$AU$5:$AV$24, 2, 0) &amp; ".",
"")</f>
        <v/>
      </c>
      <c r="AT19" s="61" t="str">
        <f>IFERROR(
   'Identitas Siswa'!E18 &amp; " " &amp; LOWER($AT$4) &amp; " " &amp; VLOOKUP(AR19, TP!$AU$5:$AV$24,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TP!$AU$5:$AV$24, 2, 0) &amp; ".",
"")</f>
        <v/>
      </c>
      <c r="AT20" s="61" t="str">
        <f>IFERROR(
   'Identitas Siswa'!E19 &amp; " " &amp; LOWER($AT$4) &amp; " " &amp; VLOOKUP(AR20, TP!$AU$5:$AV$24,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TP!$AU$5:$AV$24, 2, 0) &amp; ".",
"")</f>
        <v/>
      </c>
      <c r="AT21" s="61" t="str">
        <f>IFERROR(
   'Identitas Siswa'!E20 &amp; " " &amp; LOWER($AT$4) &amp; " " &amp; VLOOKUP(AR21, TP!$AU$5:$AV$24,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TP!$AU$5:$AV$24, 2, 0) &amp; ".",
"")</f>
        <v/>
      </c>
      <c r="AT22" s="61" t="str">
        <f>IFERROR(
   'Identitas Siswa'!E21 &amp; " " &amp; LOWER($AT$4) &amp; " " &amp; VLOOKUP(AR22, TP!$AU$5:$AV$24,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TP!$AU$5:$AV$24, 2, 0) &amp; ".",
"")</f>
        <v/>
      </c>
      <c r="AT23" s="61" t="str">
        <f>IFERROR(
   'Identitas Siswa'!E22 &amp; " " &amp; LOWER($AT$4) &amp; " " &amp; VLOOKUP(AR23, TP!$AU$5:$AV$24,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TP!$AU$5:$AV$24, 2, 0) &amp; ".",
"")</f>
        <v/>
      </c>
      <c r="AT24" s="61" t="str">
        <f>IFERROR(
   'Identitas Siswa'!E23 &amp; " " &amp; LOWER($AT$4) &amp; " " &amp; VLOOKUP(AR24, TP!$AU$5:$AV$24,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TP!$AU$5:$AV$24, 2, 0) &amp; ".",
"")</f>
        <v/>
      </c>
      <c r="AT25" s="61" t="str">
        <f>IFERROR(
   'Identitas Siswa'!E24 &amp; " " &amp; LOWER($AT$4) &amp; " " &amp; VLOOKUP(AR25, TP!$AU$5:$AV$24,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TP!$AU$5:$AV$24, 2, 0) &amp; ".",
"")</f>
        <v/>
      </c>
      <c r="AT26" s="61" t="str">
        <f>IFERROR(
   'Identitas Siswa'!E25 &amp; " " &amp; LOWER($AT$4) &amp; " " &amp; VLOOKUP(AR26, TP!$AU$5:$AV$24,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TP!$AU$5:$AV$24, 2, 0) &amp; ".",
"")</f>
        <v/>
      </c>
      <c r="AT27" s="61" t="str">
        <f>IFERROR(
   'Identitas Siswa'!E26 &amp; " " &amp; LOWER($AT$4) &amp; " " &amp; VLOOKUP(AR27, TP!$AU$5:$AV$24,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TP!$AU$5:$AV$24, 2, 0) &amp; ".",
"")</f>
        <v/>
      </c>
      <c r="AT28" s="61" t="str">
        <f>IFERROR(
   'Identitas Siswa'!E27 &amp; " " &amp; LOWER($AT$4) &amp; " " &amp; VLOOKUP(AR28, TP!$AU$5:$AV$24,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TP!$AU$5:$AV$24, 2, 0) &amp; ".",
"")</f>
        <v/>
      </c>
      <c r="AT29" s="61" t="str">
        <f>IFERROR(
   'Identitas Siswa'!E28 &amp; " " &amp; LOWER($AT$4) &amp; " " &amp; VLOOKUP(AR29, TP!$AU$5:$AV$24,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TP!$AU$5:$AV$24, 2, 0) &amp; ".",
"")</f>
        <v/>
      </c>
      <c r="AT30" s="61" t="str">
        <f>IFERROR(
   'Identitas Siswa'!E29 &amp; " " &amp; LOWER($AT$4) &amp; " " &amp; VLOOKUP(AR30, TP!$AU$5:$AV$24,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TP!$AU$5:$AV$24, 2, 0) &amp; ".",
"")</f>
        <v/>
      </c>
      <c r="AT31" s="61" t="str">
        <f>IFERROR(
   'Identitas Siswa'!E30 &amp; " " &amp; LOWER($AT$4) &amp; " " &amp; VLOOKUP(AR31, TP!$AU$5:$AV$24,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TP!$AU$5:$AV$24, 2, 0) &amp; ".",
"")</f>
        <v/>
      </c>
      <c r="AT32" s="61" t="str">
        <f>IFERROR(
   'Identitas Siswa'!E31 &amp; " " &amp; LOWER($AT$4) &amp; " " &amp; VLOOKUP(AR32, TP!$AU$5:$AV$24,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TP!$AU$5:$AV$24, 2, 0) &amp; ".",
"")</f>
        <v/>
      </c>
      <c r="AT33" s="61" t="str">
        <f>IFERROR(
   'Identitas Siswa'!E32 &amp; " " &amp; LOWER($AT$4) &amp; " " &amp; VLOOKUP(AR33, TP!$AU$5:$AV$24,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TP!$AU$5:$AV$24, 2, 0) &amp; ".",
"")</f>
        <v/>
      </c>
      <c r="AT34" s="61" t="str">
        <f>IFERROR(
   'Identitas Siswa'!E33 &amp; " " &amp; LOWER($AT$4) &amp; " " &amp; VLOOKUP(AR34, TP!$AU$5:$AV$24,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TP!$AU$5:$AV$24, 2, 0) &amp; ".",
"")</f>
        <v/>
      </c>
      <c r="AT35" s="61" t="str">
        <f>IFERROR(
   'Identitas Siswa'!E34 &amp; " " &amp; LOWER($AT$4) &amp; " " &amp; VLOOKUP(AR35, TP!$AU$5:$AV$24,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TP!$AU$5:$AV$24, 2, 0) &amp; ".",
"")</f>
        <v/>
      </c>
      <c r="AT36" s="61" t="str">
        <f>IFERROR(
   'Identitas Siswa'!E35 &amp; " " &amp; LOWER($AT$4) &amp; " " &amp; VLOOKUP(AR36, TP!$AU$5:$AV$24,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TP!$AU$5:$AV$24, 2, 0) &amp; ".",
"")</f>
        <v/>
      </c>
      <c r="AT37" s="61" t="str">
        <f>IFERROR(
   'Identitas Siswa'!E36 &amp; " " &amp; LOWER($AT$4) &amp; " " &amp; VLOOKUP(AR37, TP!$AU$5:$AV$24,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TP!$AU$5:$AV$24, 2, 0) &amp; ".",
"")</f>
        <v/>
      </c>
      <c r="AT38" s="61" t="str">
        <f>IFERROR(
   'Identitas Siswa'!E37 &amp; " " &amp; LOWER($AT$4) &amp; " " &amp; VLOOKUP(AR38, TP!$AU$5:$AV$24,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TP!$AU$5:$AV$24, 2, 0) &amp; ".",
"")</f>
        <v/>
      </c>
      <c r="AT39" s="61" t="str">
        <f>IFERROR(
   'Identitas Siswa'!E38 &amp; " " &amp; LOWER($AT$4) &amp; " " &amp; VLOOKUP(AR39, TP!$AU$5:$AV$24,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TP!$AU$5:$AV$24, 2, 0) &amp; ".",
"")</f>
        <v/>
      </c>
      <c r="AT40" s="61" t="str">
        <f>IFERROR(
   'Identitas Siswa'!E39 &amp; " " &amp; LOWER($AT$4) &amp; " " &amp; VLOOKUP(AR40, TP!$AU$5:$AV$24,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TP!$AU$5:$AV$24, 2, 0) &amp; ".",
"")</f>
        <v/>
      </c>
      <c r="AT41" s="61" t="str">
        <f>IFERROR(
   'Identitas Siswa'!E40 &amp; " " &amp; LOWER($AT$4) &amp; " " &amp; VLOOKUP(AR41, TP!$AU$5:$AV$24,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TP!$AU$5:$AV$24, 2, 0) &amp; ".",
"")</f>
        <v/>
      </c>
      <c r="AT42" s="61" t="str">
        <f>IFERROR(
   'Identitas Siswa'!E41 &amp; " " &amp; LOWER($AT$4) &amp; " " &amp; VLOOKUP(AR42, TP!$AU$5:$AV$24,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TP!$AU$5:$AV$24, 2, 0) &amp; ".",
"")</f>
        <v/>
      </c>
      <c r="AT43" s="61" t="str">
        <f>IFERROR(
   'Identitas Siswa'!E42 &amp; " " &amp; LOWER($AT$4) &amp; " " &amp; VLOOKUP(AR43, TP!$AU$5:$AV$24,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TP!$AU$5:$AV$24, 2, 0) &amp; ".",
"")</f>
        <v/>
      </c>
      <c r="AT44" s="61" t="str">
        <f>IFERROR(
   'Identitas Siswa'!E43 &amp; " " &amp; LOWER($AT$4) &amp; " " &amp; VLOOKUP(AR44, TP!$AU$5:$AV$24,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TP!$AU$5:$AV$24, 2, 0) &amp; ".",
"")</f>
        <v/>
      </c>
      <c r="AT45" s="61" t="str">
        <f>IFERROR(
   'Identitas Siswa'!E44 &amp; " " &amp; LOWER($AT$4) &amp; " " &amp; VLOOKUP(AR45, TP!$AU$5:$AV$24,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TP!$AU$5:$AV$24, 2, 0) &amp; ".",
"")</f>
        <v/>
      </c>
      <c r="AT46" s="61" t="str">
        <f>IFERROR(
   'Identitas Siswa'!E45 &amp; " " &amp; LOWER($AT$4) &amp; " " &amp; VLOOKUP(AR46, TP!$AU$5:$AV$24,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TP!$AU$5:$AV$24, 2, 0) &amp; ".",
"")</f>
        <v/>
      </c>
      <c r="AT47" s="61" t="str">
        <f>IFERROR(
   'Identitas Siswa'!E46 &amp; " " &amp; LOWER($AT$4) &amp; " " &amp; VLOOKUP(AR47, TP!$AU$5:$AV$24,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TP!$AU$5:$AV$24, 2, 0) &amp; ".",
"")</f>
        <v/>
      </c>
      <c r="AT48" s="61" t="str">
        <f>IFERROR(
   'Identitas Siswa'!E47 &amp; " " &amp; LOWER($AT$4) &amp; " " &amp; VLOOKUP(AR48, TP!$AU$5:$AV$24,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TP!$AU$5:$AV$24, 2, 0) &amp; ".",
"")</f>
        <v/>
      </c>
      <c r="AT49" s="61" t="str">
        <f>IFERROR(
   'Identitas Siswa'!E48 &amp; " " &amp; LOWER($AT$4) &amp; " " &amp; VLOOKUP(AR49, TP!$AU$5:$AV$24,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TP!$AU$5:$AV$24, 2, 0) &amp; ".",
"")</f>
        <v/>
      </c>
      <c r="AT50" s="61" t="str">
        <f>IFERROR(
   'Identitas Siswa'!E49 &amp; " " &amp; LOWER($AT$4) &amp; " " &amp; VLOOKUP(AR50, TP!$AU$5:$AV$24,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TP!$AU$5:$AV$24, 2, 0) &amp; ".",
"")</f>
        <v/>
      </c>
      <c r="AT51" s="61" t="str">
        <f>IFERROR(
   'Identitas Siswa'!E50 &amp; " " &amp; LOWER($AT$4) &amp; " " &amp; VLOOKUP(AR51, TP!$AU$5:$AV$24,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TP!$AU$5:$AV$24, 2, 0) &amp; ".",
"")</f>
        <v/>
      </c>
      <c r="AT52" s="61" t="str">
        <f>IFERROR(
   'Identitas Siswa'!E51 &amp; " " &amp; LOWER($AT$4) &amp; " " &amp; VLOOKUP(AR52, TP!$AU$5:$AV$24,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TP!$AU$5:$AV$24, 2, 0) &amp; ".",
"")</f>
        <v/>
      </c>
      <c r="AT53" s="61" t="str">
        <f>IFERROR(
   'Identitas Siswa'!E52 &amp; " " &amp; LOWER($AT$4) &amp; " " &amp; VLOOKUP(AR53, TP!$AU$5:$AV$24,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TP!$AU$5:$AV$24, 2, 0) &amp; ".",
"")</f>
        <v/>
      </c>
      <c r="AT54" s="61" t="str">
        <f>IFERROR(
   'Identitas Siswa'!E53 &amp; " " &amp; LOWER($AT$4) &amp; " " &amp; VLOOKUP(AR54, TP!$AU$5:$AV$24,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TP!$AU$5:$AV$24, 2, 0) &amp; ".",
"")</f>
        <v/>
      </c>
      <c r="AT55" s="61" t="str">
        <f>IFERROR(
   'Identitas Siswa'!E54 &amp; " " &amp; LOWER($AT$4) &amp; " " &amp; VLOOKUP(AR55, TP!$AU$5:$AV$24,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TP!$AU$5:$AV$24, 2, 0) &amp; ".",
"")</f>
        <v/>
      </c>
      <c r="AT56" s="61" t="str">
        <f>IFERROR(
   'Identitas Siswa'!E55 &amp; " " &amp; LOWER($AT$4) &amp; " " &amp; VLOOKUP(AR56, TP!$AU$5:$AV$24,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TP!$AU$5:$AV$24, 2, 0) &amp; ".",
"")</f>
        <v/>
      </c>
      <c r="AT57" s="61" t="str">
        <f>IFERROR(
   'Identitas Siswa'!E56 &amp; " " &amp; LOWER($AT$4) &amp; " " &amp; VLOOKUP(AR57, TP!$AU$5:$AV$24,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TP!$AU$5:$AV$24, 2, 0) &amp; ".",
"")</f>
        <v/>
      </c>
      <c r="AT58" s="61" t="str">
        <f>IFERROR(
   'Identitas Siswa'!E57 &amp; " " &amp; LOWER($AT$4) &amp; " " &amp; VLOOKUP(AR58, TP!$AU$5:$AV$24,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TP!$AU$5:$AV$24, 2, 0) &amp; ".",
"")</f>
        <v/>
      </c>
      <c r="AT59" s="61" t="str">
        <f>IFERROR(
   'Identitas Siswa'!E58 &amp; " " &amp; LOWER($AT$4) &amp; " " &amp; VLOOKUP(AR59, TP!$AU$5:$AV$24,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TP!$AU$5:$AV$24, 2, 0) &amp; ".",
"")</f>
        <v/>
      </c>
      <c r="AT60" s="61" t="str">
        <f>IFERROR(
   'Identitas Siswa'!E59 &amp; " " &amp; LOWER($AT$4) &amp; " " &amp; VLOOKUP(AR60, TP!$AU$5:$AV$24,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TP!$AU$5:$AV$24, 2, 0) &amp; ".",
"")</f>
        <v/>
      </c>
      <c r="AT61" s="61" t="str">
        <f>IFERROR(
   'Identitas Siswa'!E60 &amp; " " &amp; LOWER($AT$4) &amp; " " &amp; VLOOKUP(AR61, TP!$AU$5:$AV$24,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TP!$AU$5:$AV$24, 2, 0) &amp; ".",
"")</f>
        <v/>
      </c>
      <c r="AT62" s="61" t="str">
        <f>IFERROR(
   'Identitas Siswa'!E61 &amp; " " &amp; LOWER($AT$4) &amp; " " &amp; VLOOKUP(AR62, TP!$AU$5:$AV$24,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TP!$AU$5:$AV$24, 2, 0) &amp; ".",
"")</f>
        <v/>
      </c>
      <c r="AT63" s="61" t="str">
        <f>IFERROR(
   'Identitas Siswa'!E62 &amp; " " &amp; LOWER($AT$4) &amp; " " &amp; VLOOKUP(AR63, TP!$AU$5:$AV$24,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TP!$AU$5:$AV$24, 2, 0) &amp; ".",
"")</f>
        <v/>
      </c>
      <c r="AT64" s="61" t="str">
        <f>IFERROR(
   'Identitas Siswa'!E63 &amp; " " &amp; LOWER($AT$4) &amp; " " &amp; VLOOKUP(AR64, TP!$AU$5:$AV$24,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TP!$AU$5:$AV$24, 2, 0) &amp; ".",
"")</f>
        <v/>
      </c>
      <c r="AT65" s="61" t="str">
        <f>IFERROR(
   'Identitas Siswa'!E64 &amp; " " &amp; LOWER($AT$4) &amp; " " &amp; VLOOKUP(AR65, TP!$AU$5:$AV$24,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TP!$AU$5:$AV$24, 2, 0) &amp; ".",
"")</f>
        <v/>
      </c>
      <c r="AT66" s="61" t="str">
        <f>IFERROR(
   'Identitas Siswa'!E65 &amp; " " &amp; LOWER($AT$4) &amp; " " &amp; VLOOKUP(AR66, TP!$AU$5:$AV$24,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TP!$AU$5:$AV$24, 2, 0) &amp; ".",
"")</f>
        <v/>
      </c>
      <c r="AT67" s="61" t="str">
        <f>IFERROR(
   'Identitas Siswa'!E66 &amp; " " &amp; LOWER($AT$4) &amp; " " &amp; VLOOKUP(AR67, TP!$AU$5:$AV$24,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TP!$AU$5:$AV$24, 2, 0) &amp; ".",
"")</f>
        <v/>
      </c>
      <c r="AT68" s="61" t="str">
        <f>IFERROR(
   'Identitas Siswa'!E67 &amp; " " &amp; LOWER($AT$4) &amp; " " &amp; VLOOKUP(AR68, TP!$AU$5:$AV$24,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91" priority="32">
      <formula>$C$8=""</formula>
    </cfRule>
  </conditionalFormatting>
  <conditionalFormatting sqref="D9:D68">
    <cfRule type="expression" dxfId="190" priority="31">
      <formula>$D$8=""</formula>
    </cfRule>
  </conditionalFormatting>
  <conditionalFormatting sqref="E9:E68">
    <cfRule type="expression" dxfId="189" priority="30">
      <formula>$E$8=""</formula>
    </cfRule>
  </conditionalFormatting>
  <conditionalFormatting sqref="F9:F68">
    <cfRule type="expression" dxfId="188" priority="29">
      <formula>$F$8=""</formula>
    </cfRule>
  </conditionalFormatting>
  <conditionalFormatting sqref="G9:G68">
    <cfRule type="expression" dxfId="187" priority="28">
      <formula>$G$8=""</formula>
    </cfRule>
  </conditionalFormatting>
  <conditionalFormatting sqref="H9:H68">
    <cfRule type="expression" dxfId="186" priority="27">
      <formula>$H$8=""</formula>
    </cfRule>
  </conditionalFormatting>
  <conditionalFormatting sqref="I9:I68">
    <cfRule type="expression" dxfId="185" priority="26">
      <formula>$I$8=""</formula>
    </cfRule>
  </conditionalFormatting>
  <conditionalFormatting sqref="J9:J68">
    <cfRule type="expression" dxfId="184" priority="25">
      <formula>$J$8=""</formula>
    </cfRule>
  </conditionalFormatting>
  <conditionalFormatting sqref="K9:K68">
    <cfRule type="expression" dxfId="183" priority="24">
      <formula>$K$8=""</formula>
    </cfRule>
  </conditionalFormatting>
  <conditionalFormatting sqref="L9:L68">
    <cfRule type="expression" dxfId="182" priority="23">
      <formula>$L$8=""</formula>
    </cfRule>
  </conditionalFormatting>
  <conditionalFormatting sqref="M9:M68">
    <cfRule type="expression" dxfId="181" priority="22">
      <formula>$M$8=""</formula>
    </cfRule>
  </conditionalFormatting>
  <conditionalFormatting sqref="N9:N68">
    <cfRule type="expression" dxfId="180" priority="21">
      <formula>$N$8=""</formula>
    </cfRule>
  </conditionalFormatting>
  <conditionalFormatting sqref="O9:O68">
    <cfRule type="expression" dxfId="179" priority="20">
      <formula>$O$8=""</formula>
    </cfRule>
  </conditionalFormatting>
  <conditionalFormatting sqref="P9:P68">
    <cfRule type="expression" dxfId="178" priority="19">
      <formula>$P$8=""</formula>
    </cfRule>
  </conditionalFormatting>
  <conditionalFormatting sqref="Q9:Q68">
    <cfRule type="expression" dxfId="177" priority="18">
      <formula>$Q$8=""</formula>
    </cfRule>
  </conditionalFormatting>
  <conditionalFormatting sqref="R9:R68">
    <cfRule type="expression" dxfId="176" priority="17">
      <formula>$R$8=""</formula>
    </cfRule>
  </conditionalFormatting>
  <conditionalFormatting sqref="S9:S68">
    <cfRule type="expression" dxfId="175" priority="16">
      <formula>$S$8=""</formula>
    </cfRule>
  </conditionalFormatting>
  <conditionalFormatting sqref="T9:T68">
    <cfRule type="expression" dxfId="174" priority="15">
      <formula>$T$8=""</formula>
    </cfRule>
  </conditionalFormatting>
  <conditionalFormatting sqref="U9:U68">
    <cfRule type="expression" dxfId="173" priority="14">
      <formula>$U$8=""</formula>
    </cfRule>
  </conditionalFormatting>
  <conditionalFormatting sqref="V9:V68">
    <cfRule type="expression" dxfId="172" priority="13">
      <formula>$V$8=""</formula>
    </cfRule>
  </conditionalFormatting>
  <conditionalFormatting sqref="W9:W68">
    <cfRule type="expression" dxfId="171" priority="12">
      <formula>$W$8=""</formula>
    </cfRule>
  </conditionalFormatting>
  <conditionalFormatting sqref="X9:X68">
    <cfRule type="expression" dxfId="170" priority="11">
      <formula>$X$8=""</formula>
    </cfRule>
  </conditionalFormatting>
  <conditionalFormatting sqref="Y9:Y68">
    <cfRule type="expression" dxfId="169" priority="10">
      <formula>$Y$8=""</formula>
    </cfRule>
  </conditionalFormatting>
  <conditionalFormatting sqref="Z9:Z68">
    <cfRule type="expression" dxfId="168" priority="9">
      <formula>$Z$8=""</formula>
    </cfRule>
  </conditionalFormatting>
  <conditionalFormatting sqref="AA9:AA68">
    <cfRule type="expression" dxfId="167" priority="8">
      <formula>$AA$8=""</formula>
    </cfRule>
  </conditionalFormatting>
  <conditionalFormatting sqref="AB9:AB68">
    <cfRule type="expression" dxfId="166" priority="7">
      <formula>$AB$8=""</formula>
    </cfRule>
  </conditionalFormatting>
  <conditionalFormatting sqref="AC9:AC68">
    <cfRule type="expression" dxfId="165" priority="6">
      <formula>$AC$8=""</formula>
    </cfRule>
  </conditionalFormatting>
  <conditionalFormatting sqref="AD9:AD68">
    <cfRule type="expression" dxfId="164" priority="5">
      <formula>$AD$8=""</formula>
    </cfRule>
  </conditionalFormatting>
  <conditionalFormatting sqref="AE9:AE68">
    <cfRule type="expression" dxfId="163" priority="4">
      <formula>$AE$8=""</formula>
    </cfRule>
  </conditionalFormatting>
  <conditionalFormatting sqref="AF9:AF68">
    <cfRule type="expression" dxfId="162" priority="3">
      <formula>$AF$8=""</formula>
    </cfRule>
  </conditionalFormatting>
  <conditionalFormatting sqref="AG9:AG68">
    <cfRule type="expression" dxfId="161" priority="2">
      <formula>$AG$8=""</formula>
    </cfRule>
  </conditionalFormatting>
  <conditionalFormatting sqref="AH9:AH68">
    <cfRule type="expression" dxfId="16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B0C45-4B7F-4F25-89DE-414E2047F757}">
  <sheetPr codeName="Sheet17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IF(TRANSPOSE(TP!AY5:AY24)="", "", TRANSPOSE(TP!AY5:AY24))</f>
        <v>TP 1</v>
      </c>
      <c r="D8" s="52" t="str">
        <v>TP 2</v>
      </c>
      <c r="E8" s="52" t="str">
        <v>TP 3</v>
      </c>
      <c r="F8" s="52" t="str">
        <v>TP 4</v>
      </c>
      <c r="G8" s="52" t="str">
        <v>TP 5</v>
      </c>
      <c r="H8" s="52" t="str">
        <v>TP 6</v>
      </c>
      <c r="I8" s="52" t="str">
        <v>TP 7</v>
      </c>
      <c r="J8" s="52" t="str">
        <v>TP 8</v>
      </c>
      <c r="K8" s="52" t="str">
        <v>TP 9</v>
      </c>
      <c r="L8" s="52" t="str">
        <v>TP 10</v>
      </c>
      <c r="M8" s="52" t="str">
        <v>TP 11</v>
      </c>
      <c r="N8" s="52" t="str">
        <v>TP 12</v>
      </c>
      <c r="O8" s="52" t="str">
        <v>TP 13</v>
      </c>
      <c r="P8" s="52" t="str">
        <v>TP 14</v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IF(TRANSPOSE(TP!AX5:AX16)="", "", TRANSPOSE(TP!AX5:AX16))</f>
        <v>Kaulinan Barudak</v>
      </c>
      <c r="X8" s="53" t="str">
        <v>Pupuh</v>
      </c>
      <c r="Y8" s="54" t="str">
        <v>Aksara Sunda</v>
      </c>
      <c r="Z8" s="54" t="str">
        <v>Paguneman</v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>
        <v>90</v>
      </c>
      <c r="F9" s="165">
        <v>90</v>
      </c>
      <c r="G9" s="165">
        <v>90</v>
      </c>
      <c r="H9" s="165">
        <v>90</v>
      </c>
      <c r="I9" s="165">
        <v>90</v>
      </c>
      <c r="J9" s="165">
        <v>90</v>
      </c>
      <c r="K9" s="165">
        <v>90</v>
      </c>
      <c r="L9" s="165">
        <v>90</v>
      </c>
      <c r="M9" s="165">
        <v>90</v>
      </c>
      <c r="N9" s="165">
        <v>90</v>
      </c>
      <c r="O9" s="165">
        <v>90</v>
      </c>
      <c r="P9" s="165">
        <v>90</v>
      </c>
      <c r="Q9" s="165"/>
      <c r="R9" s="165"/>
      <c r="S9" s="165"/>
      <c r="T9" s="165"/>
      <c r="U9" s="165"/>
      <c r="V9" s="165"/>
      <c r="W9" s="165">
        <v>90</v>
      </c>
      <c r="X9" s="165">
        <v>90</v>
      </c>
      <c r="Y9" s="165">
        <v>90</v>
      </c>
      <c r="Z9" s="165">
        <v>90</v>
      </c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TP!$AY$5:$AZ$24, 2, 0) &amp; ".",
"")</f>
        <v>Abhy menunjukkan penguasaan dalam mengetahui jenis teks deskripsi dengan tepat.</v>
      </c>
      <c r="AT9" s="61" t="str">
        <f>IFERROR(
   'Identitas Siswa'!E8 &amp; " " &amp; LOWER($AT$4) &amp; " " &amp; VLOOKUP(AR9, TP!$AY$5:$AZ$24, 2, 0) &amp; ".",
"")</f>
        <v>Abhy perlu bimbingan dalam mengetahui jenis teks deskripsi dengan tepat.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>
        <v>80</v>
      </c>
      <c r="F10" s="165">
        <v>80</v>
      </c>
      <c r="G10" s="165">
        <v>80</v>
      </c>
      <c r="H10" s="165">
        <v>80</v>
      </c>
      <c r="I10" s="165">
        <v>80</v>
      </c>
      <c r="J10" s="165">
        <v>80</v>
      </c>
      <c r="K10" s="165">
        <v>80</v>
      </c>
      <c r="L10" s="165">
        <v>80</v>
      </c>
      <c r="M10" s="165">
        <v>80</v>
      </c>
      <c r="N10" s="165">
        <v>80</v>
      </c>
      <c r="O10" s="165">
        <v>80</v>
      </c>
      <c r="P10" s="165">
        <v>80</v>
      </c>
      <c r="Q10" s="165"/>
      <c r="R10" s="165"/>
      <c r="S10" s="165"/>
      <c r="T10" s="165"/>
      <c r="U10" s="165"/>
      <c r="V10" s="165"/>
      <c r="W10" s="165">
        <v>80</v>
      </c>
      <c r="X10" s="165">
        <v>80</v>
      </c>
      <c r="Y10" s="165">
        <v>80</v>
      </c>
      <c r="Z10" s="165">
        <v>80</v>
      </c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TP!$AY$5:$AZ$24, 2, 0) &amp; ".",
"")</f>
        <v>aku menunjukkan penguasaan dalam mengetahui jenis teks deskripsi dengan tepat.</v>
      </c>
      <c r="AT10" s="61" t="str">
        <f>IFERROR(
   'Identitas Siswa'!E9 &amp; " " &amp; LOWER($AT$4) &amp; " " &amp; VLOOKUP(AR10, TP!$AY$5:$AZ$24, 2, 0) &amp; ".",
"")</f>
        <v>aku perlu bimbingan dalam mengetahui jenis teks deskripsi dengan tepat.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TP!$AY$5:$AZ$24, 2, 0) &amp; ".",
"")</f>
        <v/>
      </c>
      <c r="AT11" s="61" t="str">
        <f>IFERROR(
   'Identitas Siswa'!E10 &amp; " " &amp; LOWER($AT$4) &amp; " " &amp; VLOOKUP(AR11, TP!$AY$5:$AZ$24,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TP!$AY$5:$AZ$24, 2, 0) &amp; ".",
"")</f>
        <v/>
      </c>
      <c r="AT12" s="61" t="str">
        <f>IFERROR(
   'Identitas Siswa'!E11 &amp; " " &amp; LOWER($AT$4) &amp; " " &amp; VLOOKUP(AR12, TP!$AY$5:$AZ$24,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TP!$AY$5:$AZ$24, 2, 0) &amp; ".",
"")</f>
        <v/>
      </c>
      <c r="AT13" s="61" t="str">
        <f>IFERROR(
   'Identitas Siswa'!E12 &amp; " " &amp; LOWER($AT$4) &amp; " " &amp; VLOOKUP(AR13, TP!$AY$5:$AZ$24,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TP!$AY$5:$AZ$24, 2, 0) &amp; ".",
"")</f>
        <v/>
      </c>
      <c r="AT14" s="61" t="str">
        <f>IFERROR(
   'Identitas Siswa'!E13 &amp; " " &amp; LOWER($AT$4) &amp; " " &amp; VLOOKUP(AR14, TP!$AY$5:$AZ$24,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TP!$AY$5:$AZ$24, 2, 0) &amp; ".",
"")</f>
        <v/>
      </c>
      <c r="AT15" s="61" t="str">
        <f>IFERROR(
   'Identitas Siswa'!E14 &amp; " " &amp; LOWER($AT$4) &amp; " " &amp; VLOOKUP(AR15, TP!$AY$5:$AZ$24,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TP!$AY$5:$AZ$24, 2, 0) &amp; ".",
"")</f>
        <v/>
      </c>
      <c r="AT16" s="61" t="str">
        <f>IFERROR(
   'Identitas Siswa'!E15 &amp; " " &amp; LOWER($AT$4) &amp; " " &amp; VLOOKUP(AR16, TP!$AY$5:$AZ$24,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TP!$AY$5:$AZ$24, 2, 0) &amp; ".",
"")</f>
        <v/>
      </c>
      <c r="AT17" s="61" t="str">
        <f>IFERROR(
   'Identitas Siswa'!E16 &amp; " " &amp; LOWER($AT$4) &amp; " " &amp; VLOOKUP(AR17, TP!$AY$5:$AZ$24,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TP!$AY$5:$AZ$24, 2, 0) &amp; ".",
"")</f>
        <v/>
      </c>
      <c r="AT18" s="61" t="str">
        <f>IFERROR(
   'Identitas Siswa'!E17 &amp; " " &amp; LOWER($AT$4) &amp; " " &amp; VLOOKUP(AR18, TP!$AY$5:$AZ$24,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TP!$AY$5:$AZ$24, 2, 0) &amp; ".",
"")</f>
        <v/>
      </c>
      <c r="AT19" s="61" t="str">
        <f>IFERROR(
   'Identitas Siswa'!E18 &amp; " " &amp; LOWER($AT$4) &amp; " " &amp; VLOOKUP(AR19, TP!$AY$5:$AZ$24,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TP!$AY$5:$AZ$24, 2, 0) &amp; ".",
"")</f>
        <v/>
      </c>
      <c r="AT20" s="61" t="str">
        <f>IFERROR(
   'Identitas Siswa'!E19 &amp; " " &amp; LOWER($AT$4) &amp; " " &amp; VLOOKUP(AR20, TP!$AY$5:$AZ$24,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TP!$AY$5:$AZ$24, 2, 0) &amp; ".",
"")</f>
        <v/>
      </c>
      <c r="AT21" s="61" t="str">
        <f>IFERROR(
   'Identitas Siswa'!E20 &amp; " " &amp; LOWER($AT$4) &amp; " " &amp; VLOOKUP(AR21, TP!$AY$5:$AZ$24,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TP!$AY$5:$AZ$24, 2, 0) &amp; ".",
"")</f>
        <v/>
      </c>
      <c r="AT22" s="61" t="str">
        <f>IFERROR(
   'Identitas Siswa'!E21 &amp; " " &amp; LOWER($AT$4) &amp; " " &amp; VLOOKUP(AR22, TP!$AY$5:$AZ$24,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TP!$AY$5:$AZ$24, 2, 0) &amp; ".",
"")</f>
        <v/>
      </c>
      <c r="AT23" s="61" t="str">
        <f>IFERROR(
   'Identitas Siswa'!E22 &amp; " " &amp; LOWER($AT$4) &amp; " " &amp; VLOOKUP(AR23, TP!$AY$5:$AZ$24,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TP!$AY$5:$AZ$24, 2, 0) &amp; ".",
"")</f>
        <v/>
      </c>
      <c r="AT24" s="61" t="str">
        <f>IFERROR(
   'Identitas Siswa'!E23 &amp; " " &amp; LOWER($AT$4) &amp; " " &amp; VLOOKUP(AR24, TP!$AY$5:$AZ$24,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TP!$AY$5:$AZ$24, 2, 0) &amp; ".",
"")</f>
        <v/>
      </c>
      <c r="AT25" s="61" t="str">
        <f>IFERROR(
   'Identitas Siswa'!E24 &amp; " " &amp; LOWER($AT$4) &amp; " " &amp; VLOOKUP(AR25, TP!$AY$5:$AZ$24,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TP!$AY$5:$AZ$24, 2, 0) &amp; ".",
"")</f>
        <v/>
      </c>
      <c r="AT26" s="61" t="str">
        <f>IFERROR(
   'Identitas Siswa'!E25 &amp; " " &amp; LOWER($AT$4) &amp; " " &amp; VLOOKUP(AR26, TP!$AY$5:$AZ$24,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TP!$AY$5:$AZ$24, 2, 0) &amp; ".",
"")</f>
        <v/>
      </c>
      <c r="AT27" s="61" t="str">
        <f>IFERROR(
   'Identitas Siswa'!E26 &amp; " " &amp; LOWER($AT$4) &amp; " " &amp; VLOOKUP(AR27, TP!$AY$5:$AZ$24,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TP!$AY$5:$AZ$24, 2, 0) &amp; ".",
"")</f>
        <v/>
      </c>
      <c r="AT28" s="61" t="str">
        <f>IFERROR(
   'Identitas Siswa'!E27 &amp; " " &amp; LOWER($AT$4) &amp; " " &amp; VLOOKUP(AR28, TP!$AY$5:$AZ$24,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TP!$AY$5:$AZ$24, 2, 0) &amp; ".",
"")</f>
        <v/>
      </c>
      <c r="AT29" s="61" t="str">
        <f>IFERROR(
   'Identitas Siswa'!E28 &amp; " " &amp; LOWER($AT$4) &amp; " " &amp; VLOOKUP(AR29, TP!$AY$5:$AZ$24,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TP!$AY$5:$AZ$24, 2, 0) &amp; ".",
"")</f>
        <v/>
      </c>
      <c r="AT30" s="61" t="str">
        <f>IFERROR(
   'Identitas Siswa'!E29 &amp; " " &amp; LOWER($AT$4) &amp; " " &amp; VLOOKUP(AR30, TP!$AY$5:$AZ$24,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TP!$AY$5:$AZ$24, 2, 0) &amp; ".",
"")</f>
        <v/>
      </c>
      <c r="AT31" s="61" t="str">
        <f>IFERROR(
   'Identitas Siswa'!E30 &amp; " " &amp; LOWER($AT$4) &amp; " " &amp; VLOOKUP(AR31, TP!$AY$5:$AZ$24,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TP!$AY$5:$AZ$24, 2, 0) &amp; ".",
"")</f>
        <v/>
      </c>
      <c r="AT32" s="61" t="str">
        <f>IFERROR(
   'Identitas Siswa'!E31 &amp; " " &amp; LOWER($AT$4) &amp; " " &amp; VLOOKUP(AR32, TP!$AY$5:$AZ$24,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TP!$AY$5:$AZ$24, 2, 0) &amp; ".",
"")</f>
        <v/>
      </c>
      <c r="AT33" s="61" t="str">
        <f>IFERROR(
   'Identitas Siswa'!E32 &amp; " " &amp; LOWER($AT$4) &amp; " " &amp; VLOOKUP(AR33, TP!$AY$5:$AZ$24,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TP!$AY$5:$AZ$24, 2, 0) &amp; ".",
"")</f>
        <v/>
      </c>
      <c r="AT34" s="61" t="str">
        <f>IFERROR(
   'Identitas Siswa'!E33 &amp; " " &amp; LOWER($AT$4) &amp; " " &amp; VLOOKUP(AR34, TP!$AY$5:$AZ$24,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TP!$AY$5:$AZ$24, 2, 0) &amp; ".",
"")</f>
        <v/>
      </c>
      <c r="AT35" s="61" t="str">
        <f>IFERROR(
   'Identitas Siswa'!E34 &amp; " " &amp; LOWER($AT$4) &amp; " " &amp; VLOOKUP(AR35, TP!$AY$5:$AZ$24,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TP!$AY$5:$AZ$24, 2, 0) &amp; ".",
"")</f>
        <v/>
      </c>
      <c r="AT36" s="61" t="str">
        <f>IFERROR(
   'Identitas Siswa'!E35 &amp; " " &amp; LOWER($AT$4) &amp; " " &amp; VLOOKUP(AR36, TP!$AY$5:$AZ$24,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TP!$AY$5:$AZ$24, 2, 0) &amp; ".",
"")</f>
        <v/>
      </c>
      <c r="AT37" s="61" t="str">
        <f>IFERROR(
   'Identitas Siswa'!E36 &amp; " " &amp; LOWER($AT$4) &amp; " " &amp; VLOOKUP(AR37, TP!$AY$5:$AZ$24,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TP!$AY$5:$AZ$24, 2, 0) &amp; ".",
"")</f>
        <v/>
      </c>
      <c r="AT38" s="61" t="str">
        <f>IFERROR(
   'Identitas Siswa'!E37 &amp; " " &amp; LOWER($AT$4) &amp; " " &amp; VLOOKUP(AR38, TP!$AY$5:$AZ$24,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TP!$AY$5:$AZ$24, 2, 0) &amp; ".",
"")</f>
        <v/>
      </c>
      <c r="AT39" s="61" t="str">
        <f>IFERROR(
   'Identitas Siswa'!E38 &amp; " " &amp; LOWER($AT$4) &amp; " " &amp; VLOOKUP(AR39, TP!$AY$5:$AZ$24,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TP!$AY$5:$AZ$24, 2, 0) &amp; ".",
"")</f>
        <v/>
      </c>
      <c r="AT40" s="61" t="str">
        <f>IFERROR(
   'Identitas Siswa'!E39 &amp; " " &amp; LOWER($AT$4) &amp; " " &amp; VLOOKUP(AR40, TP!$AY$5:$AZ$24,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TP!$AY$5:$AZ$24, 2, 0) &amp; ".",
"")</f>
        <v/>
      </c>
      <c r="AT41" s="61" t="str">
        <f>IFERROR(
   'Identitas Siswa'!E40 &amp; " " &amp; LOWER($AT$4) &amp; " " &amp; VLOOKUP(AR41, TP!$AY$5:$AZ$24,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TP!$AY$5:$AZ$24, 2, 0) &amp; ".",
"")</f>
        <v/>
      </c>
      <c r="AT42" s="61" t="str">
        <f>IFERROR(
   'Identitas Siswa'!E41 &amp; " " &amp; LOWER($AT$4) &amp; " " &amp; VLOOKUP(AR42, TP!$AY$5:$AZ$24,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TP!$AY$5:$AZ$24, 2, 0) &amp; ".",
"")</f>
        <v/>
      </c>
      <c r="AT43" s="61" t="str">
        <f>IFERROR(
   'Identitas Siswa'!E42 &amp; " " &amp; LOWER($AT$4) &amp; " " &amp; VLOOKUP(AR43, TP!$AY$5:$AZ$24,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TP!$AY$5:$AZ$24, 2, 0) &amp; ".",
"")</f>
        <v/>
      </c>
      <c r="AT44" s="61" t="str">
        <f>IFERROR(
   'Identitas Siswa'!E43 &amp; " " &amp; LOWER($AT$4) &amp; " " &amp; VLOOKUP(AR44, TP!$AY$5:$AZ$24,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TP!$AY$5:$AZ$24, 2, 0) &amp; ".",
"")</f>
        <v/>
      </c>
      <c r="AT45" s="61" t="str">
        <f>IFERROR(
   'Identitas Siswa'!E44 &amp; " " &amp; LOWER($AT$4) &amp; " " &amp; VLOOKUP(AR45, TP!$AY$5:$AZ$24,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TP!$AY$5:$AZ$24, 2, 0) &amp; ".",
"")</f>
        <v/>
      </c>
      <c r="AT46" s="61" t="str">
        <f>IFERROR(
   'Identitas Siswa'!E45 &amp; " " &amp; LOWER($AT$4) &amp; " " &amp; VLOOKUP(AR46, TP!$AY$5:$AZ$24,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TP!$AY$5:$AZ$24, 2, 0) &amp; ".",
"")</f>
        <v/>
      </c>
      <c r="AT47" s="61" t="str">
        <f>IFERROR(
   'Identitas Siswa'!E46 &amp; " " &amp; LOWER($AT$4) &amp; " " &amp; VLOOKUP(AR47, TP!$AY$5:$AZ$24,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TP!$AY$5:$AZ$24, 2, 0) &amp; ".",
"")</f>
        <v/>
      </c>
      <c r="AT48" s="61" t="str">
        <f>IFERROR(
   'Identitas Siswa'!E47 &amp; " " &amp; LOWER($AT$4) &amp; " " &amp; VLOOKUP(AR48, TP!$AY$5:$AZ$24,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TP!$AY$5:$AZ$24, 2, 0) &amp; ".",
"")</f>
        <v/>
      </c>
      <c r="AT49" s="61" t="str">
        <f>IFERROR(
   'Identitas Siswa'!E48 &amp; " " &amp; LOWER($AT$4) &amp; " " &amp; VLOOKUP(AR49, TP!$AY$5:$AZ$24,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TP!$AY$5:$AZ$24, 2, 0) &amp; ".",
"")</f>
        <v/>
      </c>
      <c r="AT50" s="61" t="str">
        <f>IFERROR(
   'Identitas Siswa'!E49 &amp; " " &amp; LOWER($AT$4) &amp; " " &amp; VLOOKUP(AR50, TP!$AY$5:$AZ$24,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TP!$AY$5:$AZ$24, 2, 0) &amp; ".",
"")</f>
        <v/>
      </c>
      <c r="AT51" s="61" t="str">
        <f>IFERROR(
   'Identitas Siswa'!E50 &amp; " " &amp; LOWER($AT$4) &amp; " " &amp; VLOOKUP(AR51, TP!$AY$5:$AZ$24,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TP!$AY$5:$AZ$24, 2, 0) &amp; ".",
"")</f>
        <v/>
      </c>
      <c r="AT52" s="61" t="str">
        <f>IFERROR(
   'Identitas Siswa'!E51 &amp; " " &amp; LOWER($AT$4) &amp; " " &amp; VLOOKUP(AR52, TP!$AY$5:$AZ$24,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TP!$AY$5:$AZ$24, 2, 0) &amp; ".",
"")</f>
        <v/>
      </c>
      <c r="AT53" s="61" t="str">
        <f>IFERROR(
   'Identitas Siswa'!E52 &amp; " " &amp; LOWER($AT$4) &amp; " " &amp; VLOOKUP(AR53, TP!$AY$5:$AZ$24,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TP!$AY$5:$AZ$24, 2, 0) &amp; ".",
"")</f>
        <v/>
      </c>
      <c r="AT54" s="61" t="str">
        <f>IFERROR(
   'Identitas Siswa'!E53 &amp; " " &amp; LOWER($AT$4) &amp; " " &amp; VLOOKUP(AR54, TP!$AY$5:$AZ$24,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TP!$AY$5:$AZ$24, 2, 0) &amp; ".",
"")</f>
        <v/>
      </c>
      <c r="AT55" s="61" t="str">
        <f>IFERROR(
   'Identitas Siswa'!E54 &amp; " " &amp; LOWER($AT$4) &amp; " " &amp; VLOOKUP(AR55, TP!$AY$5:$AZ$24,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TP!$AY$5:$AZ$24, 2, 0) &amp; ".",
"")</f>
        <v/>
      </c>
      <c r="AT56" s="61" t="str">
        <f>IFERROR(
   'Identitas Siswa'!E55 &amp; " " &amp; LOWER($AT$4) &amp; " " &amp; VLOOKUP(AR56, TP!$AY$5:$AZ$24,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TP!$AY$5:$AZ$24, 2, 0) &amp; ".",
"")</f>
        <v/>
      </c>
      <c r="AT57" s="61" t="str">
        <f>IFERROR(
   'Identitas Siswa'!E56 &amp; " " &amp; LOWER($AT$4) &amp; " " &amp; VLOOKUP(AR57, TP!$AY$5:$AZ$24,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TP!$AY$5:$AZ$24, 2, 0) &amp; ".",
"")</f>
        <v/>
      </c>
      <c r="AT58" s="61" t="str">
        <f>IFERROR(
   'Identitas Siswa'!E57 &amp; " " &amp; LOWER($AT$4) &amp; " " &amp; VLOOKUP(AR58, TP!$AY$5:$AZ$24,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TP!$AY$5:$AZ$24, 2, 0) &amp; ".",
"")</f>
        <v/>
      </c>
      <c r="AT59" s="61" t="str">
        <f>IFERROR(
   'Identitas Siswa'!E58 &amp; " " &amp; LOWER($AT$4) &amp; " " &amp; VLOOKUP(AR59, TP!$AY$5:$AZ$24,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TP!$AY$5:$AZ$24, 2, 0) &amp; ".",
"")</f>
        <v/>
      </c>
      <c r="AT60" s="61" t="str">
        <f>IFERROR(
   'Identitas Siswa'!E59 &amp; " " &amp; LOWER($AT$4) &amp; " " &amp; VLOOKUP(AR60, TP!$AY$5:$AZ$24,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TP!$AY$5:$AZ$24, 2, 0) &amp; ".",
"")</f>
        <v/>
      </c>
      <c r="AT61" s="61" t="str">
        <f>IFERROR(
   'Identitas Siswa'!E60 &amp; " " &amp; LOWER($AT$4) &amp; " " &amp; VLOOKUP(AR61, TP!$AY$5:$AZ$24,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TP!$AY$5:$AZ$24, 2, 0) &amp; ".",
"")</f>
        <v/>
      </c>
      <c r="AT62" s="61" t="str">
        <f>IFERROR(
   'Identitas Siswa'!E61 &amp; " " &amp; LOWER($AT$4) &amp; " " &amp; VLOOKUP(AR62, TP!$AY$5:$AZ$24,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TP!$AY$5:$AZ$24, 2, 0) &amp; ".",
"")</f>
        <v/>
      </c>
      <c r="AT63" s="61" t="str">
        <f>IFERROR(
   'Identitas Siswa'!E62 &amp; " " &amp; LOWER($AT$4) &amp; " " &amp; VLOOKUP(AR63, TP!$AY$5:$AZ$24,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TP!$AY$5:$AZ$24, 2, 0) &amp; ".",
"")</f>
        <v/>
      </c>
      <c r="AT64" s="61" t="str">
        <f>IFERROR(
   'Identitas Siswa'!E63 &amp; " " &amp; LOWER($AT$4) &amp; " " &amp; VLOOKUP(AR64, TP!$AY$5:$AZ$24,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TP!$AY$5:$AZ$24, 2, 0) &amp; ".",
"")</f>
        <v/>
      </c>
      <c r="AT65" s="61" t="str">
        <f>IFERROR(
   'Identitas Siswa'!E64 &amp; " " &amp; LOWER($AT$4) &amp; " " &amp; VLOOKUP(AR65, TP!$AY$5:$AZ$24,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TP!$AY$5:$AZ$24, 2, 0) &amp; ".",
"")</f>
        <v/>
      </c>
      <c r="AT66" s="61" t="str">
        <f>IFERROR(
   'Identitas Siswa'!E65 &amp; " " &amp; LOWER($AT$4) &amp; " " &amp; VLOOKUP(AR66, TP!$AY$5:$AZ$24,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TP!$AY$5:$AZ$24, 2, 0) &amp; ".",
"")</f>
        <v/>
      </c>
      <c r="AT67" s="61" t="str">
        <f>IFERROR(
   'Identitas Siswa'!E66 &amp; " " &amp; LOWER($AT$4) &amp; " " &amp; VLOOKUP(AR67, TP!$AY$5:$AZ$24,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TP!$AY$5:$AZ$24, 2, 0) &amp; ".",
"")</f>
        <v/>
      </c>
      <c r="AT68" s="61" t="str">
        <f>IFERROR(
   'Identitas Siswa'!E67 &amp; " " &amp; LOWER($AT$4) &amp; " " &amp; VLOOKUP(AR68, TP!$AY$5:$AZ$24,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59" priority="32">
      <formula>$C$8=""</formula>
    </cfRule>
  </conditionalFormatting>
  <conditionalFormatting sqref="D9:D68">
    <cfRule type="expression" dxfId="158" priority="31">
      <formula>$D$8=""</formula>
    </cfRule>
  </conditionalFormatting>
  <conditionalFormatting sqref="E9:E68">
    <cfRule type="expression" dxfId="157" priority="30">
      <formula>$E$8=""</formula>
    </cfRule>
  </conditionalFormatting>
  <conditionalFormatting sqref="F9:F68">
    <cfRule type="expression" dxfId="156" priority="29">
      <formula>$F$8=""</formula>
    </cfRule>
  </conditionalFormatting>
  <conditionalFormatting sqref="G9:G68">
    <cfRule type="expression" dxfId="155" priority="28">
      <formula>$G$8=""</formula>
    </cfRule>
  </conditionalFormatting>
  <conditionalFormatting sqref="H9:H68">
    <cfRule type="expression" dxfId="154" priority="27">
      <formula>$H$8=""</formula>
    </cfRule>
  </conditionalFormatting>
  <conditionalFormatting sqref="I9:I68">
    <cfRule type="expression" dxfId="153" priority="26">
      <formula>$I$8=""</formula>
    </cfRule>
  </conditionalFormatting>
  <conditionalFormatting sqref="J9:J68">
    <cfRule type="expression" dxfId="152" priority="25">
      <formula>$J$8=""</formula>
    </cfRule>
  </conditionalFormatting>
  <conditionalFormatting sqref="K9:K68">
    <cfRule type="expression" dxfId="151" priority="24">
      <formula>$K$8=""</formula>
    </cfRule>
  </conditionalFormatting>
  <conditionalFormatting sqref="L9:L68">
    <cfRule type="expression" dxfId="150" priority="23">
      <formula>$L$8=""</formula>
    </cfRule>
  </conditionalFormatting>
  <conditionalFormatting sqref="M9:M68">
    <cfRule type="expression" dxfId="149" priority="22">
      <formula>$M$8=""</formula>
    </cfRule>
  </conditionalFormatting>
  <conditionalFormatting sqref="N9:N68">
    <cfRule type="expression" dxfId="148" priority="21">
      <formula>$N$8=""</formula>
    </cfRule>
  </conditionalFormatting>
  <conditionalFormatting sqref="O9:O68">
    <cfRule type="expression" dxfId="147" priority="20">
      <formula>$O$8=""</formula>
    </cfRule>
  </conditionalFormatting>
  <conditionalFormatting sqref="P9:P68">
    <cfRule type="expression" dxfId="146" priority="19">
      <formula>$P$8=""</formula>
    </cfRule>
  </conditionalFormatting>
  <conditionalFormatting sqref="Q9:Q68">
    <cfRule type="expression" dxfId="145" priority="18">
      <formula>$Q$8=""</formula>
    </cfRule>
  </conditionalFormatting>
  <conditionalFormatting sqref="R9:R68">
    <cfRule type="expression" dxfId="144" priority="17">
      <formula>$R$8=""</formula>
    </cfRule>
  </conditionalFormatting>
  <conditionalFormatting sqref="S9:S68">
    <cfRule type="expression" dxfId="143" priority="16">
      <formula>$S$8=""</formula>
    </cfRule>
  </conditionalFormatting>
  <conditionalFormatting sqref="T9:T68">
    <cfRule type="expression" dxfId="142" priority="15">
      <formula>$T$8=""</formula>
    </cfRule>
  </conditionalFormatting>
  <conditionalFormatting sqref="U9:U68">
    <cfRule type="expression" dxfId="141" priority="14">
      <formula>$U$8=""</formula>
    </cfRule>
  </conditionalFormatting>
  <conditionalFormatting sqref="V9:V68">
    <cfRule type="expression" dxfId="140" priority="13">
      <formula>$V$8=""</formula>
    </cfRule>
  </conditionalFormatting>
  <conditionalFormatting sqref="W9:W68">
    <cfRule type="expression" dxfId="139" priority="12">
      <formula>$W$8=""</formula>
    </cfRule>
  </conditionalFormatting>
  <conditionalFormatting sqref="X9:X68">
    <cfRule type="expression" dxfId="138" priority="11">
      <formula>$X$8=""</formula>
    </cfRule>
  </conditionalFormatting>
  <conditionalFormatting sqref="Y9:Y68">
    <cfRule type="expression" dxfId="137" priority="10">
      <formula>$Y$8=""</formula>
    </cfRule>
  </conditionalFormatting>
  <conditionalFormatting sqref="Z9:Z68">
    <cfRule type="expression" dxfId="136" priority="9">
      <formula>$Z$8=""</formula>
    </cfRule>
  </conditionalFormatting>
  <conditionalFormatting sqref="AA9:AA68">
    <cfRule type="expression" dxfId="135" priority="8">
      <formula>$AA$8=""</formula>
    </cfRule>
  </conditionalFormatting>
  <conditionalFormatting sqref="AB9:AB68">
    <cfRule type="expression" dxfId="134" priority="7">
      <formula>$AB$8=""</formula>
    </cfRule>
  </conditionalFormatting>
  <conditionalFormatting sqref="AC9:AC68">
    <cfRule type="expression" dxfId="133" priority="6">
      <formula>$AC$8=""</formula>
    </cfRule>
  </conditionalFormatting>
  <conditionalFormatting sqref="AD9:AD68">
    <cfRule type="expression" dxfId="132" priority="5">
      <formula>$AD$8=""</formula>
    </cfRule>
  </conditionalFormatting>
  <conditionalFormatting sqref="AE9:AE68">
    <cfRule type="expression" dxfId="131" priority="4">
      <formula>$AE$8=""</formula>
    </cfRule>
  </conditionalFormatting>
  <conditionalFormatting sqref="AF9:AF68">
    <cfRule type="expression" dxfId="130" priority="3">
      <formula>$AF$8=""</formula>
    </cfRule>
  </conditionalFormatting>
  <conditionalFormatting sqref="AG9:AG68">
    <cfRule type="expression" dxfId="129" priority="2">
      <formula>$AG$8=""</formula>
    </cfRule>
  </conditionalFormatting>
  <conditionalFormatting sqref="AH9:AH68">
    <cfRule type="expression" dxfId="12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31688-EF53-4C67-A023-A70CED86D794}">
  <sheetPr codeName="Sheet18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4" activeCellId="2" sqref="C9:AJ68 AT3 AT4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IF(TRANSPOSE(TP!BC5:BC24)="", "", TRANSPOSE(TP!BC5:BC24))</f>
        <v>TP 1</v>
      </c>
      <c r="D8" s="52" t="str">
        <v>TP 2</v>
      </c>
      <c r="E8" s="52" t="str">
        <v/>
      </c>
      <c r="F8" s="52" t="str">
        <v/>
      </c>
      <c r="G8" s="52" t="str">
        <v/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IF(TRANSPOSE(TP!BB5:BB16)="", "", TRANSPOSE(TP!BB5:BB16))</f>
        <v>Materi 1</v>
      </c>
      <c r="X8" s="53" t="str">
        <v/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TP!$BC$5:$BD$24, 2, 0) &amp; ".",
"")</f>
        <v>Abhy menunjukkan penguasaan dalam Tujuan Pembelajaran 1.</v>
      </c>
      <c r="AT9" s="61" t="str">
        <f>IFERROR(
   'Identitas Siswa'!E8 &amp; " " &amp; LOWER($AT$4) &amp; " " &amp; VLOOKUP(AR9, TP!$BC$5:$BD$24, 2, 0) &amp; ".",
"")</f>
        <v>Abhy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TP!$BC$5:$BD$24, 2, 0) &amp; ".",
"")</f>
        <v>aku menunjukkan penguasaan dalam Tujuan Pembelajaran 1.</v>
      </c>
      <c r="AT10" s="61" t="str">
        <f>IFERROR(
   'Identitas Siswa'!E9 &amp; " " &amp; LOWER($AT$4) &amp; " " &amp; VLOOKUP(AR10, TP!$BC$5:$BD$24, 2, 0) &amp; ".",
"")</f>
        <v>aku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TP!$BC$5:$BD$24, 2, 0) &amp; ".",
"")</f>
        <v/>
      </c>
      <c r="AT11" s="61" t="str">
        <f>IFERROR(
   'Identitas Siswa'!E10 &amp; " " &amp; LOWER($AT$4) &amp; " " &amp; VLOOKUP(AR11, TP!$BC$5:$BD$24,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TP!$BC$5:$BD$24, 2, 0) &amp; ".",
"")</f>
        <v/>
      </c>
      <c r="AT12" s="61" t="str">
        <f>IFERROR(
   'Identitas Siswa'!E11 &amp; " " &amp; LOWER($AT$4) &amp; " " &amp; VLOOKUP(AR12, TP!$BC$5:$BD$24,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TP!$BC$5:$BD$24, 2, 0) &amp; ".",
"")</f>
        <v/>
      </c>
      <c r="AT13" s="61" t="str">
        <f>IFERROR(
   'Identitas Siswa'!E12 &amp; " " &amp; LOWER($AT$4) &amp; " " &amp; VLOOKUP(AR13, TP!$BC$5:$BD$24,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TP!$BC$5:$BD$24, 2, 0) &amp; ".",
"")</f>
        <v/>
      </c>
      <c r="AT14" s="61" t="str">
        <f>IFERROR(
   'Identitas Siswa'!E13 &amp; " " &amp; LOWER($AT$4) &amp; " " &amp; VLOOKUP(AR14, TP!$BC$5:$BD$24,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TP!$BC$5:$BD$24, 2, 0) &amp; ".",
"")</f>
        <v/>
      </c>
      <c r="AT15" s="61" t="str">
        <f>IFERROR(
   'Identitas Siswa'!E14 &amp; " " &amp; LOWER($AT$4) &amp; " " &amp; VLOOKUP(AR15, TP!$BC$5:$BD$24,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TP!$BC$5:$BD$24, 2, 0) &amp; ".",
"")</f>
        <v/>
      </c>
      <c r="AT16" s="61" t="str">
        <f>IFERROR(
   'Identitas Siswa'!E15 &amp; " " &amp; LOWER($AT$4) &amp; " " &amp; VLOOKUP(AR16, TP!$BC$5:$BD$24,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TP!$BC$5:$BD$24, 2, 0) &amp; ".",
"")</f>
        <v/>
      </c>
      <c r="AT17" s="61" t="str">
        <f>IFERROR(
   'Identitas Siswa'!E16 &amp; " " &amp; LOWER($AT$4) &amp; " " &amp; VLOOKUP(AR17, TP!$BC$5:$BD$24,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TP!$BC$5:$BD$24, 2, 0) &amp; ".",
"")</f>
        <v/>
      </c>
      <c r="AT18" s="61" t="str">
        <f>IFERROR(
   'Identitas Siswa'!E17 &amp; " " &amp; LOWER($AT$4) &amp; " " &amp; VLOOKUP(AR18, TP!$BC$5:$BD$24,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TP!$BC$5:$BD$24, 2, 0) &amp; ".",
"")</f>
        <v/>
      </c>
      <c r="AT19" s="61" t="str">
        <f>IFERROR(
   'Identitas Siswa'!E18 &amp; " " &amp; LOWER($AT$4) &amp; " " &amp; VLOOKUP(AR19, TP!$BC$5:$BD$24,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TP!$BC$5:$BD$24, 2, 0) &amp; ".",
"")</f>
        <v/>
      </c>
      <c r="AT20" s="61" t="str">
        <f>IFERROR(
   'Identitas Siswa'!E19 &amp; " " &amp; LOWER($AT$4) &amp; " " &amp; VLOOKUP(AR20, TP!$BC$5:$BD$24,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TP!$BC$5:$BD$24, 2, 0) &amp; ".",
"")</f>
        <v/>
      </c>
      <c r="AT21" s="61" t="str">
        <f>IFERROR(
   'Identitas Siswa'!E20 &amp; " " &amp; LOWER($AT$4) &amp; " " &amp; VLOOKUP(AR21, TP!$BC$5:$BD$24,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TP!$BC$5:$BD$24, 2, 0) &amp; ".",
"")</f>
        <v/>
      </c>
      <c r="AT22" s="61" t="str">
        <f>IFERROR(
   'Identitas Siswa'!E21 &amp; " " &amp; LOWER($AT$4) &amp; " " &amp; VLOOKUP(AR22, TP!$BC$5:$BD$24,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TP!$BC$5:$BD$24, 2, 0) &amp; ".",
"")</f>
        <v/>
      </c>
      <c r="AT23" s="61" t="str">
        <f>IFERROR(
   'Identitas Siswa'!E22 &amp; " " &amp; LOWER($AT$4) &amp; " " &amp; VLOOKUP(AR23, TP!$BC$5:$BD$24,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TP!$BC$5:$BD$24, 2, 0) &amp; ".",
"")</f>
        <v/>
      </c>
      <c r="AT24" s="61" t="str">
        <f>IFERROR(
   'Identitas Siswa'!E23 &amp; " " &amp; LOWER($AT$4) &amp; " " &amp; VLOOKUP(AR24, TP!$BC$5:$BD$24,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TP!$BC$5:$BD$24, 2, 0) &amp; ".",
"")</f>
        <v/>
      </c>
      <c r="AT25" s="61" t="str">
        <f>IFERROR(
   'Identitas Siswa'!E24 &amp; " " &amp; LOWER($AT$4) &amp; " " &amp; VLOOKUP(AR25, TP!$BC$5:$BD$24,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TP!$BC$5:$BD$24, 2, 0) &amp; ".",
"")</f>
        <v/>
      </c>
      <c r="AT26" s="61" t="str">
        <f>IFERROR(
   'Identitas Siswa'!E25 &amp; " " &amp; LOWER($AT$4) &amp; " " &amp; VLOOKUP(AR26, TP!$BC$5:$BD$24,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TP!$BC$5:$BD$24, 2, 0) &amp; ".",
"")</f>
        <v/>
      </c>
      <c r="AT27" s="61" t="str">
        <f>IFERROR(
   'Identitas Siswa'!E26 &amp; " " &amp; LOWER($AT$4) &amp; " " &amp; VLOOKUP(AR27, TP!$BC$5:$BD$24,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TP!$BC$5:$BD$24, 2, 0) &amp; ".",
"")</f>
        <v/>
      </c>
      <c r="AT28" s="61" t="str">
        <f>IFERROR(
   'Identitas Siswa'!E27 &amp; " " &amp; LOWER($AT$4) &amp; " " &amp; VLOOKUP(AR28, TP!$BC$5:$BD$24,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TP!$BC$5:$BD$24, 2, 0) &amp; ".",
"")</f>
        <v/>
      </c>
      <c r="AT29" s="61" t="str">
        <f>IFERROR(
   'Identitas Siswa'!E28 &amp; " " &amp; LOWER($AT$4) &amp; " " &amp; VLOOKUP(AR29, TP!$BC$5:$BD$24,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TP!$BC$5:$BD$24, 2, 0) &amp; ".",
"")</f>
        <v/>
      </c>
      <c r="AT30" s="61" t="str">
        <f>IFERROR(
   'Identitas Siswa'!E29 &amp; " " &amp; LOWER($AT$4) &amp; " " &amp; VLOOKUP(AR30, TP!$BC$5:$BD$24,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TP!$BC$5:$BD$24, 2, 0) &amp; ".",
"")</f>
        <v/>
      </c>
      <c r="AT31" s="61" t="str">
        <f>IFERROR(
   'Identitas Siswa'!E30 &amp; " " &amp; LOWER($AT$4) &amp; " " &amp; VLOOKUP(AR31, TP!$BC$5:$BD$24,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TP!$BC$5:$BD$24, 2, 0) &amp; ".",
"")</f>
        <v/>
      </c>
      <c r="AT32" s="61" t="str">
        <f>IFERROR(
   'Identitas Siswa'!E31 &amp; " " &amp; LOWER($AT$4) &amp; " " &amp; VLOOKUP(AR32, TP!$BC$5:$BD$24,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TP!$BC$5:$BD$24, 2, 0) &amp; ".",
"")</f>
        <v/>
      </c>
      <c r="AT33" s="61" t="str">
        <f>IFERROR(
   'Identitas Siswa'!E32 &amp; " " &amp; LOWER($AT$4) &amp; " " &amp; VLOOKUP(AR33, TP!$BC$5:$BD$24,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TP!$BC$5:$BD$24, 2, 0) &amp; ".",
"")</f>
        <v/>
      </c>
      <c r="AT34" s="61" t="str">
        <f>IFERROR(
   'Identitas Siswa'!E33 &amp; " " &amp; LOWER($AT$4) &amp; " " &amp; VLOOKUP(AR34, TP!$BC$5:$BD$24,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TP!$BC$5:$BD$24, 2, 0) &amp; ".",
"")</f>
        <v/>
      </c>
      <c r="AT35" s="61" t="str">
        <f>IFERROR(
   'Identitas Siswa'!E34 &amp; " " &amp; LOWER($AT$4) &amp; " " &amp; VLOOKUP(AR35, TP!$BC$5:$BD$24,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TP!$BC$5:$BD$24, 2, 0) &amp; ".",
"")</f>
        <v/>
      </c>
      <c r="AT36" s="61" t="str">
        <f>IFERROR(
   'Identitas Siswa'!E35 &amp; " " &amp; LOWER($AT$4) &amp; " " &amp; VLOOKUP(AR36, TP!$BC$5:$BD$24,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TP!$BC$5:$BD$24, 2, 0) &amp; ".",
"")</f>
        <v/>
      </c>
      <c r="AT37" s="61" t="str">
        <f>IFERROR(
   'Identitas Siswa'!E36 &amp; " " &amp; LOWER($AT$4) &amp; " " &amp; VLOOKUP(AR37, TP!$BC$5:$BD$24,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TP!$BC$5:$BD$24, 2, 0) &amp; ".",
"")</f>
        <v/>
      </c>
      <c r="AT38" s="61" t="str">
        <f>IFERROR(
   'Identitas Siswa'!E37 &amp; " " &amp; LOWER($AT$4) &amp; " " &amp; VLOOKUP(AR38, TP!$BC$5:$BD$24,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TP!$BC$5:$BD$24, 2, 0) &amp; ".",
"")</f>
        <v/>
      </c>
      <c r="AT39" s="61" t="str">
        <f>IFERROR(
   'Identitas Siswa'!E38 &amp; " " &amp; LOWER($AT$4) &amp; " " &amp; VLOOKUP(AR39, TP!$BC$5:$BD$24,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TP!$BC$5:$BD$24, 2, 0) &amp; ".",
"")</f>
        <v/>
      </c>
      <c r="AT40" s="61" t="str">
        <f>IFERROR(
   'Identitas Siswa'!E39 &amp; " " &amp; LOWER($AT$4) &amp; " " &amp; VLOOKUP(AR40, TP!$BC$5:$BD$24,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TP!$BC$5:$BD$24, 2, 0) &amp; ".",
"")</f>
        <v/>
      </c>
      <c r="AT41" s="61" t="str">
        <f>IFERROR(
   'Identitas Siswa'!E40 &amp; " " &amp; LOWER($AT$4) &amp; " " &amp; VLOOKUP(AR41, TP!$BC$5:$BD$24,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TP!$BC$5:$BD$24, 2, 0) &amp; ".",
"")</f>
        <v/>
      </c>
      <c r="AT42" s="61" t="str">
        <f>IFERROR(
   'Identitas Siswa'!E41 &amp; " " &amp; LOWER($AT$4) &amp; " " &amp; VLOOKUP(AR42, TP!$BC$5:$BD$24,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TP!$BC$5:$BD$24, 2, 0) &amp; ".",
"")</f>
        <v/>
      </c>
      <c r="AT43" s="61" t="str">
        <f>IFERROR(
   'Identitas Siswa'!E42 &amp; " " &amp; LOWER($AT$4) &amp; " " &amp; VLOOKUP(AR43, TP!$BC$5:$BD$24,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TP!$BC$5:$BD$24, 2, 0) &amp; ".",
"")</f>
        <v/>
      </c>
      <c r="AT44" s="61" t="str">
        <f>IFERROR(
   'Identitas Siswa'!E43 &amp; " " &amp; LOWER($AT$4) &amp; " " &amp; VLOOKUP(AR44, TP!$BC$5:$BD$24,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TP!$BC$5:$BD$24, 2, 0) &amp; ".",
"")</f>
        <v/>
      </c>
      <c r="AT45" s="61" t="str">
        <f>IFERROR(
   'Identitas Siswa'!E44 &amp; " " &amp; LOWER($AT$4) &amp; " " &amp; VLOOKUP(AR45, TP!$BC$5:$BD$24,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TP!$BC$5:$BD$24, 2, 0) &amp; ".",
"")</f>
        <v/>
      </c>
      <c r="AT46" s="61" t="str">
        <f>IFERROR(
   'Identitas Siswa'!E45 &amp; " " &amp; LOWER($AT$4) &amp; " " &amp; VLOOKUP(AR46, TP!$BC$5:$BD$24,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TP!$BC$5:$BD$24, 2, 0) &amp; ".",
"")</f>
        <v/>
      </c>
      <c r="AT47" s="61" t="str">
        <f>IFERROR(
   'Identitas Siswa'!E46 &amp; " " &amp; LOWER($AT$4) &amp; " " &amp; VLOOKUP(AR47, TP!$BC$5:$BD$24,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TP!$BC$5:$BD$24, 2, 0) &amp; ".",
"")</f>
        <v/>
      </c>
      <c r="AT48" s="61" t="str">
        <f>IFERROR(
   'Identitas Siswa'!E47 &amp; " " &amp; LOWER($AT$4) &amp; " " &amp; VLOOKUP(AR48, TP!$BC$5:$BD$24,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TP!$BC$5:$BD$24, 2, 0) &amp; ".",
"")</f>
        <v/>
      </c>
      <c r="AT49" s="61" t="str">
        <f>IFERROR(
   'Identitas Siswa'!E48 &amp; " " &amp; LOWER($AT$4) &amp; " " &amp; VLOOKUP(AR49, TP!$BC$5:$BD$24,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TP!$BC$5:$BD$24, 2, 0) &amp; ".",
"")</f>
        <v/>
      </c>
      <c r="AT50" s="61" t="str">
        <f>IFERROR(
   'Identitas Siswa'!E49 &amp; " " &amp; LOWER($AT$4) &amp; " " &amp; VLOOKUP(AR50, TP!$BC$5:$BD$24,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TP!$BC$5:$BD$24, 2, 0) &amp; ".",
"")</f>
        <v/>
      </c>
      <c r="AT51" s="61" t="str">
        <f>IFERROR(
   'Identitas Siswa'!E50 &amp; " " &amp; LOWER($AT$4) &amp; " " &amp; VLOOKUP(AR51, TP!$BC$5:$BD$24,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TP!$BC$5:$BD$24, 2, 0) &amp; ".",
"")</f>
        <v/>
      </c>
      <c r="AT52" s="61" t="str">
        <f>IFERROR(
   'Identitas Siswa'!E51 &amp; " " &amp; LOWER($AT$4) &amp; " " &amp; VLOOKUP(AR52, TP!$BC$5:$BD$24,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TP!$BC$5:$BD$24, 2, 0) &amp; ".",
"")</f>
        <v/>
      </c>
      <c r="AT53" s="61" t="str">
        <f>IFERROR(
   'Identitas Siswa'!E52 &amp; " " &amp; LOWER($AT$4) &amp; " " &amp; VLOOKUP(AR53, TP!$BC$5:$BD$24,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TP!$BC$5:$BD$24, 2, 0) &amp; ".",
"")</f>
        <v/>
      </c>
      <c r="AT54" s="61" t="str">
        <f>IFERROR(
   'Identitas Siswa'!E53 &amp; " " &amp; LOWER($AT$4) &amp; " " &amp; VLOOKUP(AR54, TP!$BC$5:$BD$24,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TP!$BC$5:$BD$24, 2, 0) &amp; ".",
"")</f>
        <v/>
      </c>
      <c r="AT55" s="61" t="str">
        <f>IFERROR(
   'Identitas Siswa'!E54 &amp; " " &amp; LOWER($AT$4) &amp; " " &amp; VLOOKUP(AR55, TP!$BC$5:$BD$24,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TP!$BC$5:$BD$24, 2, 0) &amp; ".",
"")</f>
        <v/>
      </c>
      <c r="AT56" s="61" t="str">
        <f>IFERROR(
   'Identitas Siswa'!E55 &amp; " " &amp; LOWER($AT$4) &amp; " " &amp; VLOOKUP(AR56, TP!$BC$5:$BD$24,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TP!$BC$5:$BD$24, 2, 0) &amp; ".",
"")</f>
        <v/>
      </c>
      <c r="AT57" s="61" t="str">
        <f>IFERROR(
   'Identitas Siswa'!E56 &amp; " " &amp; LOWER($AT$4) &amp; " " &amp; VLOOKUP(AR57, TP!$BC$5:$BD$24,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TP!$BC$5:$BD$24, 2, 0) &amp; ".",
"")</f>
        <v/>
      </c>
      <c r="AT58" s="61" t="str">
        <f>IFERROR(
   'Identitas Siswa'!E57 &amp; " " &amp; LOWER($AT$4) &amp; " " &amp; VLOOKUP(AR58, TP!$BC$5:$BD$24,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TP!$BC$5:$BD$24, 2, 0) &amp; ".",
"")</f>
        <v/>
      </c>
      <c r="AT59" s="61" t="str">
        <f>IFERROR(
   'Identitas Siswa'!E58 &amp; " " &amp; LOWER($AT$4) &amp; " " &amp; VLOOKUP(AR59, TP!$BC$5:$BD$24,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TP!$BC$5:$BD$24, 2, 0) &amp; ".",
"")</f>
        <v/>
      </c>
      <c r="AT60" s="61" t="str">
        <f>IFERROR(
   'Identitas Siswa'!E59 &amp; " " &amp; LOWER($AT$4) &amp; " " &amp; VLOOKUP(AR60, TP!$BC$5:$BD$24,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TP!$BC$5:$BD$24, 2, 0) &amp; ".",
"")</f>
        <v/>
      </c>
      <c r="AT61" s="61" t="str">
        <f>IFERROR(
   'Identitas Siswa'!E60 &amp; " " &amp; LOWER($AT$4) &amp; " " &amp; VLOOKUP(AR61, TP!$BC$5:$BD$24,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TP!$BC$5:$BD$24, 2, 0) &amp; ".",
"")</f>
        <v/>
      </c>
      <c r="AT62" s="61" t="str">
        <f>IFERROR(
   'Identitas Siswa'!E61 &amp; " " &amp; LOWER($AT$4) &amp; " " &amp; VLOOKUP(AR62, TP!$BC$5:$BD$24,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TP!$BC$5:$BD$24, 2, 0) &amp; ".",
"")</f>
        <v/>
      </c>
      <c r="AT63" s="61" t="str">
        <f>IFERROR(
   'Identitas Siswa'!E62 &amp; " " &amp; LOWER($AT$4) &amp; " " &amp; VLOOKUP(AR63, TP!$BC$5:$BD$24,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TP!$BC$5:$BD$24, 2, 0) &amp; ".",
"")</f>
        <v/>
      </c>
      <c r="AT64" s="61" t="str">
        <f>IFERROR(
   'Identitas Siswa'!E63 &amp; " " &amp; LOWER($AT$4) &amp; " " &amp; VLOOKUP(AR64, TP!$BC$5:$BD$24,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TP!$BC$5:$BD$24, 2, 0) &amp; ".",
"")</f>
        <v/>
      </c>
      <c r="AT65" s="61" t="str">
        <f>IFERROR(
   'Identitas Siswa'!E64 &amp; " " &amp; LOWER($AT$4) &amp; " " &amp; VLOOKUP(AR65, TP!$BC$5:$BD$24,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TP!$BC$5:$BD$24, 2, 0) &amp; ".",
"")</f>
        <v/>
      </c>
      <c r="AT66" s="61" t="str">
        <f>IFERROR(
   'Identitas Siswa'!E65 &amp; " " &amp; LOWER($AT$4) &amp; " " &amp; VLOOKUP(AR66, TP!$BC$5:$BD$24,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TP!$BC$5:$BD$24, 2, 0) &amp; ".",
"")</f>
        <v/>
      </c>
      <c r="AT67" s="61" t="str">
        <f>IFERROR(
   'Identitas Siswa'!E66 &amp; " " &amp; LOWER($AT$4) &amp; " " &amp; VLOOKUP(AR67, TP!$BC$5:$BD$24,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TP!$BC$5:$BD$24, 2, 0) &amp; ".",
"")</f>
        <v/>
      </c>
      <c r="AT68" s="61" t="str">
        <f>IFERROR(
   'Identitas Siswa'!E67 &amp; " " &amp; LOWER($AT$4) &amp; " " &amp; VLOOKUP(AR68, TP!$BC$5:$BD$24,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27" priority="32">
      <formula>$C$8=""</formula>
    </cfRule>
  </conditionalFormatting>
  <conditionalFormatting sqref="D9:D68">
    <cfRule type="expression" dxfId="126" priority="31">
      <formula>$D$8=""</formula>
    </cfRule>
  </conditionalFormatting>
  <conditionalFormatting sqref="E9:E68">
    <cfRule type="expression" dxfId="125" priority="30">
      <formula>$E$8=""</formula>
    </cfRule>
  </conditionalFormatting>
  <conditionalFormatting sqref="F9:F68">
    <cfRule type="expression" dxfId="124" priority="29">
      <formula>$F$8=""</formula>
    </cfRule>
  </conditionalFormatting>
  <conditionalFormatting sqref="G9:G68">
    <cfRule type="expression" dxfId="123" priority="28">
      <formula>$G$8=""</formula>
    </cfRule>
  </conditionalFormatting>
  <conditionalFormatting sqref="H9:H68">
    <cfRule type="expression" dxfId="122" priority="27">
      <formula>$H$8=""</formula>
    </cfRule>
  </conditionalFormatting>
  <conditionalFormatting sqref="I9:I68">
    <cfRule type="expression" dxfId="121" priority="26">
      <formula>$I$8=""</formula>
    </cfRule>
  </conditionalFormatting>
  <conditionalFormatting sqref="J9:J68">
    <cfRule type="expression" dxfId="120" priority="25">
      <formula>$J$8=""</formula>
    </cfRule>
  </conditionalFormatting>
  <conditionalFormatting sqref="K9:K68">
    <cfRule type="expression" dxfId="119" priority="24">
      <formula>$K$8=""</formula>
    </cfRule>
  </conditionalFormatting>
  <conditionalFormatting sqref="L9:L68">
    <cfRule type="expression" dxfId="118" priority="23">
      <formula>$L$8=""</formula>
    </cfRule>
  </conditionalFormatting>
  <conditionalFormatting sqref="M9:M68">
    <cfRule type="expression" dxfId="117" priority="22">
      <formula>$M$8=""</formula>
    </cfRule>
  </conditionalFormatting>
  <conditionalFormatting sqref="N9:N68">
    <cfRule type="expression" dxfId="116" priority="21">
      <formula>$N$8=""</formula>
    </cfRule>
  </conditionalFormatting>
  <conditionalFormatting sqref="O9:O68">
    <cfRule type="expression" dxfId="115" priority="20">
      <formula>$O$8=""</formula>
    </cfRule>
  </conditionalFormatting>
  <conditionalFormatting sqref="P9:P68">
    <cfRule type="expression" dxfId="114" priority="19">
      <formula>$P$8=""</formula>
    </cfRule>
  </conditionalFormatting>
  <conditionalFormatting sqref="Q9:Q68">
    <cfRule type="expression" dxfId="113" priority="18">
      <formula>$Q$8=""</formula>
    </cfRule>
  </conditionalFormatting>
  <conditionalFormatting sqref="R9:R68">
    <cfRule type="expression" dxfId="112" priority="17">
      <formula>$R$8=""</formula>
    </cfRule>
  </conditionalFormatting>
  <conditionalFormatting sqref="S9:S68">
    <cfRule type="expression" dxfId="111" priority="16">
      <formula>$S$8=""</formula>
    </cfRule>
  </conditionalFormatting>
  <conditionalFormatting sqref="T9:T68">
    <cfRule type="expression" dxfId="110" priority="15">
      <formula>$T$8=""</formula>
    </cfRule>
  </conditionalFormatting>
  <conditionalFormatting sqref="U9:U68">
    <cfRule type="expression" dxfId="109" priority="14">
      <formula>$U$8=""</formula>
    </cfRule>
  </conditionalFormatting>
  <conditionalFormatting sqref="V9:V68">
    <cfRule type="expression" dxfId="108" priority="13">
      <formula>$V$8=""</formula>
    </cfRule>
  </conditionalFormatting>
  <conditionalFormatting sqref="W9:W68">
    <cfRule type="expression" dxfId="107" priority="12">
      <formula>$W$8=""</formula>
    </cfRule>
  </conditionalFormatting>
  <conditionalFormatting sqref="X9:X68">
    <cfRule type="expression" dxfId="106" priority="11">
      <formula>$X$8=""</formula>
    </cfRule>
  </conditionalFormatting>
  <conditionalFormatting sqref="Y9:Y68">
    <cfRule type="expression" dxfId="105" priority="10">
      <formula>$Y$8=""</formula>
    </cfRule>
  </conditionalFormatting>
  <conditionalFormatting sqref="Z9:Z68">
    <cfRule type="expression" dxfId="104" priority="9">
      <formula>$Z$8=""</formula>
    </cfRule>
  </conditionalFormatting>
  <conditionalFormatting sqref="AA9:AA68">
    <cfRule type="expression" dxfId="103" priority="8">
      <formula>$AA$8=""</formula>
    </cfRule>
  </conditionalFormatting>
  <conditionalFormatting sqref="AB9:AB68">
    <cfRule type="expression" dxfId="102" priority="7">
      <formula>$AB$8=""</formula>
    </cfRule>
  </conditionalFormatting>
  <conditionalFormatting sqref="AC9:AC68">
    <cfRule type="expression" dxfId="101" priority="6">
      <formula>$AC$8=""</formula>
    </cfRule>
  </conditionalFormatting>
  <conditionalFormatting sqref="AD9:AD68">
    <cfRule type="expression" dxfId="100" priority="5">
      <formula>$AD$8=""</formula>
    </cfRule>
  </conditionalFormatting>
  <conditionalFormatting sqref="AE9:AE68">
    <cfRule type="expression" dxfId="99" priority="4">
      <formula>$AE$8=""</formula>
    </cfRule>
  </conditionalFormatting>
  <conditionalFormatting sqref="AF9:AF68">
    <cfRule type="expression" dxfId="98" priority="3">
      <formula>$AF$8=""</formula>
    </cfRule>
  </conditionalFormatting>
  <conditionalFormatting sqref="AG9:AG68">
    <cfRule type="expression" dxfId="97" priority="2">
      <formula>$AG$8=""</formula>
    </cfRule>
  </conditionalFormatting>
  <conditionalFormatting sqref="AH9:AH68">
    <cfRule type="expression" dxfId="9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608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6081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FFA8-264C-4793-B938-CE99CDDBC9C3}">
  <sheetPr codeName="Sheet19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IF(TRANSPOSE(TP!BG5:BG24)="", "", TRANSPOSE(TP!BG5:BG24))</f>
        <v>TP 1</v>
      </c>
      <c r="D8" s="52" t="str">
        <v>TP 2</v>
      </c>
      <c r="E8" s="52" t="str">
        <v/>
      </c>
      <c r="F8" s="52" t="str">
        <v/>
      </c>
      <c r="G8" s="52" t="str">
        <v/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IF(TRANSPOSE(TP!BF5:BF16)="", "", TRANSPOSE(TP!BF5:BF16))</f>
        <v>Materi 1</v>
      </c>
      <c r="X8" s="53" t="str">
        <v/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TP!$BG$5:$BH$24, 2, 0) &amp; ".",
"")</f>
        <v>Abhy menunjukkan penguasaan dalam Tujuan Pembelajaran 1.</v>
      </c>
      <c r="AT9" s="61" t="str">
        <f>IFERROR(
   'Identitas Siswa'!E8 &amp; " " &amp; LOWER($AT$4) &amp; " " &amp; VLOOKUP(AR9, TP!$BG$5:$BH$24, 2, 0) &amp; ".",
"")</f>
        <v>Abhy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TP!$BG$5:$BH$24, 2, 0) &amp; ".",
"")</f>
        <v>aku menunjukkan penguasaan dalam Tujuan Pembelajaran 1.</v>
      </c>
      <c r="AT10" s="61" t="str">
        <f>IFERROR(
   'Identitas Siswa'!E9 &amp; " " &amp; LOWER($AT$4) &amp; " " &amp; VLOOKUP(AR10, TP!$BG$5:$BH$24, 2, 0) &amp; ".",
"")</f>
        <v>aku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TP!$BG$5:$BH$24, 2, 0) &amp; ".",
"")</f>
        <v/>
      </c>
      <c r="AT11" s="61" t="str">
        <f>IFERROR(
   'Identitas Siswa'!E10 &amp; " " &amp; LOWER($AT$4) &amp; " " &amp; VLOOKUP(AR11, TP!$BG$5:$BH$24,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TP!$BG$5:$BH$24, 2, 0) &amp; ".",
"")</f>
        <v/>
      </c>
      <c r="AT12" s="61" t="str">
        <f>IFERROR(
   'Identitas Siswa'!E11 &amp; " " &amp; LOWER($AT$4) &amp; " " &amp; VLOOKUP(AR12, TP!$BG$5:$BH$24,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TP!$BG$5:$BH$24, 2, 0) &amp; ".",
"")</f>
        <v/>
      </c>
      <c r="AT13" s="61" t="str">
        <f>IFERROR(
   'Identitas Siswa'!E12 &amp; " " &amp; LOWER($AT$4) &amp; " " &amp; VLOOKUP(AR13, TP!$BG$5:$BH$24,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TP!$BG$5:$BH$24, 2, 0) &amp; ".",
"")</f>
        <v/>
      </c>
      <c r="AT14" s="61" t="str">
        <f>IFERROR(
   'Identitas Siswa'!E13 &amp; " " &amp; LOWER($AT$4) &amp; " " &amp; VLOOKUP(AR14, TP!$BG$5:$BH$24,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TP!$BG$5:$BH$24, 2, 0) &amp; ".",
"")</f>
        <v/>
      </c>
      <c r="AT15" s="61" t="str">
        <f>IFERROR(
   'Identitas Siswa'!E14 &amp; " " &amp; LOWER($AT$4) &amp; " " &amp; VLOOKUP(AR15, TP!$BG$5:$BH$24,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TP!$BG$5:$BH$24, 2, 0) &amp; ".",
"")</f>
        <v/>
      </c>
      <c r="AT16" s="61" t="str">
        <f>IFERROR(
   'Identitas Siswa'!E15 &amp; " " &amp; LOWER($AT$4) &amp; " " &amp; VLOOKUP(AR16, TP!$BG$5:$BH$24,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TP!$BG$5:$BH$24, 2, 0) &amp; ".",
"")</f>
        <v/>
      </c>
      <c r="AT17" s="61" t="str">
        <f>IFERROR(
   'Identitas Siswa'!E16 &amp; " " &amp; LOWER($AT$4) &amp; " " &amp; VLOOKUP(AR17, TP!$BG$5:$BH$24,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TP!$BG$5:$BH$24, 2, 0) &amp; ".",
"")</f>
        <v/>
      </c>
      <c r="AT18" s="61" t="str">
        <f>IFERROR(
   'Identitas Siswa'!E17 &amp; " " &amp; LOWER($AT$4) &amp; " " &amp; VLOOKUP(AR18, TP!$BG$5:$BH$24,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TP!$BG$5:$BH$24, 2, 0) &amp; ".",
"")</f>
        <v/>
      </c>
      <c r="AT19" s="61" t="str">
        <f>IFERROR(
   'Identitas Siswa'!E18 &amp; " " &amp; LOWER($AT$4) &amp; " " &amp; VLOOKUP(AR19, TP!$BG$5:$BH$24,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TP!$BG$5:$BH$24, 2, 0) &amp; ".",
"")</f>
        <v/>
      </c>
      <c r="AT20" s="61" t="str">
        <f>IFERROR(
   'Identitas Siswa'!E19 &amp; " " &amp; LOWER($AT$4) &amp; " " &amp; VLOOKUP(AR20, TP!$BG$5:$BH$24,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TP!$BG$5:$BH$24, 2, 0) &amp; ".",
"")</f>
        <v/>
      </c>
      <c r="AT21" s="61" t="str">
        <f>IFERROR(
   'Identitas Siswa'!E20 &amp; " " &amp; LOWER($AT$4) &amp; " " &amp; VLOOKUP(AR21, TP!$BG$5:$BH$24,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TP!$BG$5:$BH$24, 2, 0) &amp; ".",
"")</f>
        <v/>
      </c>
      <c r="AT22" s="61" t="str">
        <f>IFERROR(
   'Identitas Siswa'!E21 &amp; " " &amp; LOWER($AT$4) &amp; " " &amp; VLOOKUP(AR22, TP!$BG$5:$BH$24,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TP!$BG$5:$BH$24, 2, 0) &amp; ".",
"")</f>
        <v/>
      </c>
      <c r="AT23" s="61" t="str">
        <f>IFERROR(
   'Identitas Siswa'!E22 &amp; " " &amp; LOWER($AT$4) &amp; " " &amp; VLOOKUP(AR23, TP!$BG$5:$BH$24,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TP!$BG$5:$BH$24, 2, 0) &amp; ".",
"")</f>
        <v/>
      </c>
      <c r="AT24" s="61" t="str">
        <f>IFERROR(
   'Identitas Siswa'!E23 &amp; " " &amp; LOWER($AT$4) &amp; " " &amp; VLOOKUP(AR24, TP!$BG$5:$BH$24,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TP!$BG$5:$BH$24, 2, 0) &amp; ".",
"")</f>
        <v/>
      </c>
      <c r="AT25" s="61" t="str">
        <f>IFERROR(
   'Identitas Siswa'!E24 &amp; " " &amp; LOWER($AT$4) &amp; " " &amp; VLOOKUP(AR25, TP!$BG$5:$BH$24,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TP!$BG$5:$BH$24, 2, 0) &amp; ".",
"")</f>
        <v/>
      </c>
      <c r="AT26" s="61" t="str">
        <f>IFERROR(
   'Identitas Siswa'!E25 &amp; " " &amp; LOWER($AT$4) &amp; " " &amp; VLOOKUP(AR26, TP!$BG$5:$BH$24,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TP!$BG$5:$BH$24, 2, 0) &amp; ".",
"")</f>
        <v/>
      </c>
      <c r="AT27" s="61" t="str">
        <f>IFERROR(
   'Identitas Siswa'!E26 &amp; " " &amp; LOWER($AT$4) &amp; " " &amp; VLOOKUP(AR27, TP!$BG$5:$BH$24,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TP!$BG$5:$BH$24, 2, 0) &amp; ".",
"")</f>
        <v/>
      </c>
      <c r="AT28" s="61" t="str">
        <f>IFERROR(
   'Identitas Siswa'!E27 &amp; " " &amp; LOWER($AT$4) &amp; " " &amp; VLOOKUP(AR28, TP!$BG$5:$BH$24,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TP!$BG$5:$BH$24, 2, 0) &amp; ".",
"")</f>
        <v/>
      </c>
      <c r="AT29" s="61" t="str">
        <f>IFERROR(
   'Identitas Siswa'!E28 &amp; " " &amp; LOWER($AT$4) &amp; " " &amp; VLOOKUP(AR29, TP!$BG$5:$BH$24,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TP!$BG$5:$BH$24, 2, 0) &amp; ".",
"")</f>
        <v/>
      </c>
      <c r="AT30" s="61" t="str">
        <f>IFERROR(
   'Identitas Siswa'!E29 &amp; " " &amp; LOWER($AT$4) &amp; " " &amp; VLOOKUP(AR30, TP!$BG$5:$BH$24,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TP!$BG$5:$BH$24, 2, 0) &amp; ".",
"")</f>
        <v/>
      </c>
      <c r="AT31" s="61" t="str">
        <f>IFERROR(
   'Identitas Siswa'!E30 &amp; " " &amp; LOWER($AT$4) &amp; " " &amp; VLOOKUP(AR31, TP!$BG$5:$BH$24,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TP!$BG$5:$BH$24, 2, 0) &amp; ".",
"")</f>
        <v/>
      </c>
      <c r="AT32" s="61" t="str">
        <f>IFERROR(
   'Identitas Siswa'!E31 &amp; " " &amp; LOWER($AT$4) &amp; " " &amp; VLOOKUP(AR32, TP!$BG$5:$BH$24,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TP!$BG$5:$BH$24, 2, 0) &amp; ".",
"")</f>
        <v/>
      </c>
      <c r="AT33" s="61" t="str">
        <f>IFERROR(
   'Identitas Siswa'!E32 &amp; " " &amp; LOWER($AT$4) &amp; " " &amp; VLOOKUP(AR33, TP!$BG$5:$BH$24,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TP!$BG$5:$BH$24, 2, 0) &amp; ".",
"")</f>
        <v/>
      </c>
      <c r="AT34" s="61" t="str">
        <f>IFERROR(
   'Identitas Siswa'!E33 &amp; " " &amp; LOWER($AT$4) &amp; " " &amp; VLOOKUP(AR34, TP!$BG$5:$BH$24,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TP!$BG$5:$BH$24, 2, 0) &amp; ".",
"")</f>
        <v/>
      </c>
      <c r="AT35" s="61" t="str">
        <f>IFERROR(
   'Identitas Siswa'!E34 &amp; " " &amp; LOWER($AT$4) &amp; " " &amp; VLOOKUP(AR35, TP!$BG$5:$BH$24,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TP!$BG$5:$BH$24, 2, 0) &amp; ".",
"")</f>
        <v/>
      </c>
      <c r="AT36" s="61" t="str">
        <f>IFERROR(
   'Identitas Siswa'!E35 &amp; " " &amp; LOWER($AT$4) &amp; " " &amp; VLOOKUP(AR36, TP!$BG$5:$BH$24,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TP!$BG$5:$BH$24, 2, 0) &amp; ".",
"")</f>
        <v/>
      </c>
      <c r="AT37" s="61" t="str">
        <f>IFERROR(
   'Identitas Siswa'!E36 &amp; " " &amp; LOWER($AT$4) &amp; " " &amp; VLOOKUP(AR37, TP!$BG$5:$BH$24,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TP!$BG$5:$BH$24, 2, 0) &amp; ".",
"")</f>
        <v/>
      </c>
      <c r="AT38" s="61" t="str">
        <f>IFERROR(
   'Identitas Siswa'!E37 &amp; " " &amp; LOWER($AT$4) &amp; " " &amp; VLOOKUP(AR38, TP!$BG$5:$BH$24,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TP!$BG$5:$BH$24, 2, 0) &amp; ".",
"")</f>
        <v/>
      </c>
      <c r="AT39" s="61" t="str">
        <f>IFERROR(
   'Identitas Siswa'!E38 &amp; " " &amp; LOWER($AT$4) &amp; " " &amp; VLOOKUP(AR39, TP!$BG$5:$BH$24,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TP!$BG$5:$BH$24, 2, 0) &amp; ".",
"")</f>
        <v/>
      </c>
      <c r="AT40" s="61" t="str">
        <f>IFERROR(
   'Identitas Siswa'!E39 &amp; " " &amp; LOWER($AT$4) &amp; " " &amp; VLOOKUP(AR40, TP!$BG$5:$BH$24,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TP!$BG$5:$BH$24, 2, 0) &amp; ".",
"")</f>
        <v/>
      </c>
      <c r="AT41" s="61" t="str">
        <f>IFERROR(
   'Identitas Siswa'!E40 &amp; " " &amp; LOWER($AT$4) &amp; " " &amp; VLOOKUP(AR41, TP!$BG$5:$BH$24,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TP!$BG$5:$BH$24, 2, 0) &amp; ".",
"")</f>
        <v/>
      </c>
      <c r="AT42" s="61" t="str">
        <f>IFERROR(
   'Identitas Siswa'!E41 &amp; " " &amp; LOWER($AT$4) &amp; " " &amp; VLOOKUP(AR42, TP!$BG$5:$BH$24,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TP!$BG$5:$BH$24, 2, 0) &amp; ".",
"")</f>
        <v/>
      </c>
      <c r="AT43" s="61" t="str">
        <f>IFERROR(
   'Identitas Siswa'!E42 &amp; " " &amp; LOWER($AT$4) &amp; " " &amp; VLOOKUP(AR43, TP!$BG$5:$BH$24,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TP!$BG$5:$BH$24, 2, 0) &amp; ".",
"")</f>
        <v/>
      </c>
      <c r="AT44" s="61" t="str">
        <f>IFERROR(
   'Identitas Siswa'!E43 &amp; " " &amp; LOWER($AT$4) &amp; " " &amp; VLOOKUP(AR44, TP!$BG$5:$BH$24,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TP!$BG$5:$BH$24, 2, 0) &amp; ".",
"")</f>
        <v/>
      </c>
      <c r="AT45" s="61" t="str">
        <f>IFERROR(
   'Identitas Siswa'!E44 &amp; " " &amp; LOWER($AT$4) &amp; " " &amp; VLOOKUP(AR45, TP!$BG$5:$BH$24,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TP!$BG$5:$BH$24, 2, 0) &amp; ".",
"")</f>
        <v/>
      </c>
      <c r="AT46" s="61" t="str">
        <f>IFERROR(
   'Identitas Siswa'!E45 &amp; " " &amp; LOWER($AT$4) &amp; " " &amp; VLOOKUP(AR46, TP!$BG$5:$BH$24,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TP!$BG$5:$BH$24, 2, 0) &amp; ".",
"")</f>
        <v/>
      </c>
      <c r="AT47" s="61" t="str">
        <f>IFERROR(
   'Identitas Siswa'!E46 &amp; " " &amp; LOWER($AT$4) &amp; " " &amp; VLOOKUP(AR47, TP!$BG$5:$BH$24,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TP!$BG$5:$BH$24, 2, 0) &amp; ".",
"")</f>
        <v/>
      </c>
      <c r="AT48" s="61" t="str">
        <f>IFERROR(
   'Identitas Siswa'!E47 &amp; " " &amp; LOWER($AT$4) &amp; " " &amp; VLOOKUP(AR48, TP!$BG$5:$BH$24,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TP!$BG$5:$BH$24, 2, 0) &amp; ".",
"")</f>
        <v/>
      </c>
      <c r="AT49" s="61" t="str">
        <f>IFERROR(
   'Identitas Siswa'!E48 &amp; " " &amp; LOWER($AT$4) &amp; " " &amp; VLOOKUP(AR49, TP!$BG$5:$BH$24,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TP!$BG$5:$BH$24, 2, 0) &amp; ".",
"")</f>
        <v/>
      </c>
      <c r="AT50" s="61" t="str">
        <f>IFERROR(
   'Identitas Siswa'!E49 &amp; " " &amp; LOWER($AT$4) &amp; " " &amp; VLOOKUP(AR50, TP!$BG$5:$BH$24,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TP!$BG$5:$BH$24, 2, 0) &amp; ".",
"")</f>
        <v/>
      </c>
      <c r="AT51" s="61" t="str">
        <f>IFERROR(
   'Identitas Siswa'!E50 &amp; " " &amp; LOWER($AT$4) &amp; " " &amp; VLOOKUP(AR51, TP!$BG$5:$BH$24,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TP!$BG$5:$BH$24, 2, 0) &amp; ".",
"")</f>
        <v/>
      </c>
      <c r="AT52" s="61" t="str">
        <f>IFERROR(
   'Identitas Siswa'!E51 &amp; " " &amp; LOWER($AT$4) &amp; " " &amp; VLOOKUP(AR52, TP!$BG$5:$BH$24,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TP!$BG$5:$BH$24, 2, 0) &amp; ".",
"")</f>
        <v/>
      </c>
      <c r="AT53" s="61" t="str">
        <f>IFERROR(
   'Identitas Siswa'!E52 &amp; " " &amp; LOWER($AT$4) &amp; " " &amp; VLOOKUP(AR53, TP!$BG$5:$BH$24,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TP!$BG$5:$BH$24, 2, 0) &amp; ".",
"")</f>
        <v/>
      </c>
      <c r="AT54" s="61" t="str">
        <f>IFERROR(
   'Identitas Siswa'!E53 &amp; " " &amp; LOWER($AT$4) &amp; " " &amp; VLOOKUP(AR54, TP!$BG$5:$BH$24,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TP!$BG$5:$BH$24, 2, 0) &amp; ".",
"")</f>
        <v/>
      </c>
      <c r="AT55" s="61" t="str">
        <f>IFERROR(
   'Identitas Siswa'!E54 &amp; " " &amp; LOWER($AT$4) &amp; " " &amp; VLOOKUP(AR55, TP!$BG$5:$BH$24,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TP!$BG$5:$BH$24, 2, 0) &amp; ".",
"")</f>
        <v/>
      </c>
      <c r="AT56" s="61" t="str">
        <f>IFERROR(
   'Identitas Siswa'!E55 &amp; " " &amp; LOWER($AT$4) &amp; " " &amp; VLOOKUP(AR56, TP!$BG$5:$BH$24,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TP!$BG$5:$BH$24, 2, 0) &amp; ".",
"")</f>
        <v/>
      </c>
      <c r="AT57" s="61" t="str">
        <f>IFERROR(
   'Identitas Siswa'!E56 &amp; " " &amp; LOWER($AT$4) &amp; " " &amp; VLOOKUP(AR57, TP!$BG$5:$BH$24,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TP!$BG$5:$BH$24, 2, 0) &amp; ".",
"")</f>
        <v/>
      </c>
      <c r="AT58" s="61" t="str">
        <f>IFERROR(
   'Identitas Siswa'!E57 &amp; " " &amp; LOWER($AT$4) &amp; " " &amp; VLOOKUP(AR58, TP!$BG$5:$BH$24,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TP!$BG$5:$BH$24, 2, 0) &amp; ".",
"")</f>
        <v/>
      </c>
      <c r="AT59" s="61" t="str">
        <f>IFERROR(
   'Identitas Siswa'!E58 &amp; " " &amp; LOWER($AT$4) &amp; " " &amp; VLOOKUP(AR59, TP!$BG$5:$BH$24,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TP!$BG$5:$BH$24, 2, 0) &amp; ".",
"")</f>
        <v/>
      </c>
      <c r="AT60" s="61" t="str">
        <f>IFERROR(
   'Identitas Siswa'!E59 &amp; " " &amp; LOWER($AT$4) &amp; " " &amp; VLOOKUP(AR60, TP!$BG$5:$BH$24,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TP!$BG$5:$BH$24, 2, 0) &amp; ".",
"")</f>
        <v/>
      </c>
      <c r="AT61" s="61" t="str">
        <f>IFERROR(
   'Identitas Siswa'!E60 &amp; " " &amp; LOWER($AT$4) &amp; " " &amp; VLOOKUP(AR61, TP!$BG$5:$BH$24,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TP!$BG$5:$BH$24, 2, 0) &amp; ".",
"")</f>
        <v/>
      </c>
      <c r="AT62" s="61" t="str">
        <f>IFERROR(
   'Identitas Siswa'!E61 &amp; " " &amp; LOWER($AT$4) &amp; " " &amp; VLOOKUP(AR62, TP!$BG$5:$BH$24,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TP!$BG$5:$BH$24, 2, 0) &amp; ".",
"")</f>
        <v/>
      </c>
      <c r="AT63" s="61" t="str">
        <f>IFERROR(
   'Identitas Siswa'!E62 &amp; " " &amp; LOWER($AT$4) &amp; " " &amp; VLOOKUP(AR63, TP!$BG$5:$BH$24,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TP!$BG$5:$BH$24, 2, 0) &amp; ".",
"")</f>
        <v/>
      </c>
      <c r="AT64" s="61" t="str">
        <f>IFERROR(
   'Identitas Siswa'!E63 &amp; " " &amp; LOWER($AT$4) &amp; " " &amp; VLOOKUP(AR64, TP!$BG$5:$BH$24,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TP!$BG$5:$BH$24, 2, 0) &amp; ".",
"")</f>
        <v/>
      </c>
      <c r="AT65" s="61" t="str">
        <f>IFERROR(
   'Identitas Siswa'!E64 &amp; " " &amp; LOWER($AT$4) &amp; " " &amp; VLOOKUP(AR65, TP!$BG$5:$BH$24,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TP!$BG$5:$BH$24, 2, 0) &amp; ".",
"")</f>
        <v/>
      </c>
      <c r="AT66" s="61" t="str">
        <f>IFERROR(
   'Identitas Siswa'!E65 &amp; " " &amp; LOWER($AT$4) &amp; " " &amp; VLOOKUP(AR66, TP!$BG$5:$BH$24,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TP!$BG$5:$BH$24, 2, 0) &amp; ".",
"")</f>
        <v/>
      </c>
      <c r="AT67" s="61" t="str">
        <f>IFERROR(
   'Identitas Siswa'!E66 &amp; " " &amp; LOWER($AT$4) &amp; " " &amp; VLOOKUP(AR67, TP!$BG$5:$BH$24,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TP!$BG$5:$BH$24, 2, 0) &amp; ".",
"")</f>
        <v/>
      </c>
      <c r="AT68" s="61" t="str">
        <f>IFERROR(
   'Identitas Siswa'!E67 &amp; " " &amp; LOWER($AT$4) &amp; " " &amp; VLOOKUP(AR68, TP!$BG$5:$BH$24,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95" priority="32">
      <formula>$C$8=""</formula>
    </cfRule>
  </conditionalFormatting>
  <conditionalFormatting sqref="D9:D68">
    <cfRule type="expression" dxfId="94" priority="31">
      <formula>$D$8=""</formula>
    </cfRule>
  </conditionalFormatting>
  <conditionalFormatting sqref="E9:E68">
    <cfRule type="expression" dxfId="93" priority="30">
      <formula>$E$8=""</formula>
    </cfRule>
  </conditionalFormatting>
  <conditionalFormatting sqref="F9:F68">
    <cfRule type="expression" dxfId="92" priority="29">
      <formula>$F$8=""</formula>
    </cfRule>
  </conditionalFormatting>
  <conditionalFormatting sqref="G9:G68">
    <cfRule type="expression" dxfId="91" priority="28">
      <formula>$G$8=""</formula>
    </cfRule>
  </conditionalFormatting>
  <conditionalFormatting sqref="H9:H68">
    <cfRule type="expression" dxfId="90" priority="27">
      <formula>$H$8=""</formula>
    </cfRule>
  </conditionalFormatting>
  <conditionalFormatting sqref="I9:I68">
    <cfRule type="expression" dxfId="89" priority="26">
      <formula>$I$8=""</formula>
    </cfRule>
  </conditionalFormatting>
  <conditionalFormatting sqref="J9:J68">
    <cfRule type="expression" dxfId="88" priority="25">
      <formula>$J$8=""</formula>
    </cfRule>
  </conditionalFormatting>
  <conditionalFormatting sqref="K9:K68">
    <cfRule type="expression" dxfId="87" priority="24">
      <formula>$K$8=""</formula>
    </cfRule>
  </conditionalFormatting>
  <conditionalFormatting sqref="L9:L68">
    <cfRule type="expression" dxfId="86" priority="23">
      <formula>$L$8=""</formula>
    </cfRule>
  </conditionalFormatting>
  <conditionalFormatting sqref="M9:M68">
    <cfRule type="expression" dxfId="85" priority="22">
      <formula>$M$8=""</formula>
    </cfRule>
  </conditionalFormatting>
  <conditionalFormatting sqref="N9:N68">
    <cfRule type="expression" dxfId="84" priority="21">
      <formula>$N$8=""</formula>
    </cfRule>
  </conditionalFormatting>
  <conditionalFormatting sqref="O9:O68">
    <cfRule type="expression" dxfId="83" priority="20">
      <formula>$O$8=""</formula>
    </cfRule>
  </conditionalFormatting>
  <conditionalFormatting sqref="P9:P68">
    <cfRule type="expression" dxfId="82" priority="19">
      <formula>$P$8=""</formula>
    </cfRule>
  </conditionalFormatting>
  <conditionalFormatting sqref="Q9:Q68">
    <cfRule type="expression" dxfId="81" priority="18">
      <formula>$Q$8=""</formula>
    </cfRule>
  </conditionalFormatting>
  <conditionalFormatting sqref="R9:R68">
    <cfRule type="expression" dxfId="80" priority="17">
      <formula>$R$8=""</formula>
    </cfRule>
  </conditionalFormatting>
  <conditionalFormatting sqref="S9:S68">
    <cfRule type="expression" dxfId="79" priority="16">
      <formula>$S$8=""</formula>
    </cfRule>
  </conditionalFormatting>
  <conditionalFormatting sqref="T9:T68">
    <cfRule type="expression" dxfId="78" priority="15">
      <formula>$T$8=""</formula>
    </cfRule>
  </conditionalFormatting>
  <conditionalFormatting sqref="U9:U68">
    <cfRule type="expression" dxfId="77" priority="14">
      <formula>$U$8=""</formula>
    </cfRule>
  </conditionalFormatting>
  <conditionalFormatting sqref="V9:V68">
    <cfRule type="expression" dxfId="76" priority="13">
      <formula>$V$8=""</formula>
    </cfRule>
  </conditionalFormatting>
  <conditionalFormatting sqref="W9:W68">
    <cfRule type="expression" dxfId="75" priority="12">
      <formula>$W$8=""</formula>
    </cfRule>
  </conditionalFormatting>
  <conditionalFormatting sqref="X9:X68">
    <cfRule type="expression" dxfId="74" priority="11">
      <formula>$X$8=""</formula>
    </cfRule>
  </conditionalFormatting>
  <conditionalFormatting sqref="Y9:Y68">
    <cfRule type="expression" dxfId="73" priority="10">
      <formula>$Y$8=""</formula>
    </cfRule>
  </conditionalFormatting>
  <conditionalFormatting sqref="Z9:Z68">
    <cfRule type="expression" dxfId="72" priority="9">
      <formula>$Z$8=""</formula>
    </cfRule>
  </conditionalFormatting>
  <conditionalFormatting sqref="AA9:AA68">
    <cfRule type="expression" dxfId="71" priority="8">
      <formula>$AA$8=""</formula>
    </cfRule>
  </conditionalFormatting>
  <conditionalFormatting sqref="AB9:AB68">
    <cfRule type="expression" dxfId="70" priority="7">
      <formula>$AB$8=""</formula>
    </cfRule>
  </conditionalFormatting>
  <conditionalFormatting sqref="AC9:AC68">
    <cfRule type="expression" dxfId="69" priority="6">
      <formula>$AC$8=""</formula>
    </cfRule>
  </conditionalFormatting>
  <conditionalFormatting sqref="AD9:AD68">
    <cfRule type="expression" dxfId="68" priority="5">
      <formula>$AD$8=""</formula>
    </cfRule>
  </conditionalFormatting>
  <conditionalFormatting sqref="AE9:AE68">
    <cfRule type="expression" dxfId="67" priority="4">
      <formula>$AE$8=""</formula>
    </cfRule>
  </conditionalFormatting>
  <conditionalFormatting sqref="AF9:AF68">
    <cfRule type="expression" dxfId="66" priority="3">
      <formula>$AF$8=""</formula>
    </cfRule>
  </conditionalFormatting>
  <conditionalFormatting sqref="AG9:AG68">
    <cfRule type="expression" dxfId="65" priority="2">
      <formula>$AG$8=""</formula>
    </cfRule>
  </conditionalFormatting>
  <conditionalFormatting sqref="AH9:AH68">
    <cfRule type="expression" dxfId="6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7105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517AE-C3B4-4A53-9CF9-C5B498D94D54}">
  <sheetPr codeName="Sheet20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IF(TRANSPOSE(TP!BK5:BK24)="", "", TRANSPOSE(TP!BK5:BK24))</f>
        <v>TP 1</v>
      </c>
      <c r="D8" s="52" t="str">
        <v>TP 2</v>
      </c>
      <c r="E8" s="52" t="str">
        <v/>
      </c>
      <c r="F8" s="52" t="str">
        <v/>
      </c>
      <c r="G8" s="52" t="str">
        <v/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IF(TRANSPOSE(TP!BJ5:BJ16)="", "", TRANSPOSE(TP!BJ5:BJ16))</f>
        <v>Materi 1</v>
      </c>
      <c r="X8" s="53" t="str">
        <v/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TP 1</v>
      </c>
      <c r="AQ9" s="59">
        <f>MIN(C9:V9)</f>
        <v>90</v>
      </c>
      <c r="AR9" s="59" t="str">
        <f>IFERROR(INDEX(C$8:V$8, MATCH(AQ9, C9:V9, 0)), "")</f>
        <v>TP 1</v>
      </c>
      <c r="AS9" s="61" t="str">
        <f>IFERROR(
   'Identitas Siswa'!E8 &amp; " " &amp; LOWER($AT$3) &amp; " " &amp; VLOOKUP(AP9, TP!$BK$5:$BL$24, 2, 0) &amp; ".",
"")</f>
        <v>Abhy menunjukkan penguasaan dalam Tujuan Pembelajaran 1.</v>
      </c>
      <c r="AT9" s="61" t="str">
        <f>IFERROR(
   'Identitas Siswa'!E8 &amp; " " &amp; LOWER($AT$4) &amp; " " &amp; VLOOKUP(AR9, TP!$BK$5:$BL$24, 2, 0) &amp; ".",
"")</f>
        <v>Abhy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TP 1</v>
      </c>
      <c r="AQ10" s="59">
        <f>MIN(C10:V10)</f>
        <v>80</v>
      </c>
      <c r="AR10" s="59" t="str">
        <f>IFERROR(INDEX(C$8:V$8, MATCH(AQ10, C10:V10, 0)), "")</f>
        <v>TP 1</v>
      </c>
      <c r="AS10" s="61" t="str">
        <f>IFERROR(
   'Identitas Siswa'!E9 &amp; " " &amp; LOWER($AT$3) &amp; " " &amp; VLOOKUP(AP10, TP!$BK$5:$BL$24, 2, 0) &amp; ".",
"")</f>
        <v>aku menunjukkan penguasaan dalam Tujuan Pembelajaran 1.</v>
      </c>
      <c r="AT10" s="61" t="str">
        <f>IFERROR(
   'Identitas Siswa'!E9 &amp; " " &amp; LOWER($AT$4) &amp; " " &amp; VLOOKUP(AR10, TP!$BK$5:$BL$24, 2, 0) &amp; ".",
"")</f>
        <v>aku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TP!$BK$5:$BL$24, 2, 0) &amp; ".",
"")</f>
        <v/>
      </c>
      <c r="AT11" s="61" t="str">
        <f>IFERROR(
   'Identitas Siswa'!E10 &amp; " " &amp; LOWER($AT$4) &amp; " " &amp; VLOOKUP(AR11, TP!$BK$5:$BL$24,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TP!$BK$5:$BL$24, 2, 0) &amp; ".",
"")</f>
        <v/>
      </c>
      <c r="AT12" s="61" t="str">
        <f>IFERROR(
   'Identitas Siswa'!E11 &amp; " " &amp; LOWER($AT$4) &amp; " " &amp; VLOOKUP(AR12, TP!$BK$5:$BL$24,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TP!$BK$5:$BL$24, 2, 0) &amp; ".",
"")</f>
        <v/>
      </c>
      <c r="AT13" s="61" t="str">
        <f>IFERROR(
   'Identitas Siswa'!E12 &amp; " " &amp; LOWER($AT$4) &amp; " " &amp; VLOOKUP(AR13, TP!$BK$5:$BL$24,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TP!$BK$5:$BL$24, 2, 0) &amp; ".",
"")</f>
        <v/>
      </c>
      <c r="AT14" s="61" t="str">
        <f>IFERROR(
   'Identitas Siswa'!E13 &amp; " " &amp; LOWER($AT$4) &amp; " " &amp; VLOOKUP(AR14, TP!$BK$5:$BL$24,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TP!$BK$5:$BL$24, 2, 0) &amp; ".",
"")</f>
        <v/>
      </c>
      <c r="AT15" s="61" t="str">
        <f>IFERROR(
   'Identitas Siswa'!E14 &amp; " " &amp; LOWER($AT$4) &amp; " " &amp; VLOOKUP(AR15, TP!$BK$5:$BL$24,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TP!$BK$5:$BL$24, 2, 0) &amp; ".",
"")</f>
        <v/>
      </c>
      <c r="AT16" s="61" t="str">
        <f>IFERROR(
   'Identitas Siswa'!E15 &amp; " " &amp; LOWER($AT$4) &amp; " " &amp; VLOOKUP(AR16, TP!$BK$5:$BL$24,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TP!$BK$5:$BL$24, 2, 0) &amp; ".",
"")</f>
        <v/>
      </c>
      <c r="AT17" s="61" t="str">
        <f>IFERROR(
   'Identitas Siswa'!E16 &amp; " " &amp; LOWER($AT$4) &amp; " " &amp; VLOOKUP(AR17, TP!$BK$5:$BL$24,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TP!$BK$5:$BL$24, 2, 0) &amp; ".",
"")</f>
        <v/>
      </c>
      <c r="AT18" s="61" t="str">
        <f>IFERROR(
   'Identitas Siswa'!E17 &amp; " " &amp; LOWER($AT$4) &amp; " " &amp; VLOOKUP(AR18, TP!$BK$5:$BL$24,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TP!$BK$5:$BL$24, 2, 0) &amp; ".",
"")</f>
        <v/>
      </c>
      <c r="AT19" s="61" t="str">
        <f>IFERROR(
   'Identitas Siswa'!E18 &amp; " " &amp; LOWER($AT$4) &amp; " " &amp; VLOOKUP(AR19, TP!$BK$5:$BL$24,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TP!$BK$5:$BL$24, 2, 0) &amp; ".",
"")</f>
        <v/>
      </c>
      <c r="AT20" s="61" t="str">
        <f>IFERROR(
   'Identitas Siswa'!E19 &amp; " " &amp; LOWER($AT$4) &amp; " " &amp; VLOOKUP(AR20, TP!$BK$5:$BL$24,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TP!$BK$5:$BL$24, 2, 0) &amp; ".",
"")</f>
        <v/>
      </c>
      <c r="AT21" s="61" t="str">
        <f>IFERROR(
   'Identitas Siswa'!E20 &amp; " " &amp; LOWER($AT$4) &amp; " " &amp; VLOOKUP(AR21, TP!$BK$5:$BL$24,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TP!$BK$5:$BL$24, 2, 0) &amp; ".",
"")</f>
        <v/>
      </c>
      <c r="AT22" s="61" t="str">
        <f>IFERROR(
   'Identitas Siswa'!E21 &amp; " " &amp; LOWER($AT$4) &amp; " " &amp; VLOOKUP(AR22, TP!$BK$5:$BL$24,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TP!$BK$5:$BL$24, 2, 0) &amp; ".",
"")</f>
        <v/>
      </c>
      <c r="AT23" s="61" t="str">
        <f>IFERROR(
   'Identitas Siswa'!E22 &amp; " " &amp; LOWER($AT$4) &amp; " " &amp; VLOOKUP(AR23, TP!$BK$5:$BL$24,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TP!$BK$5:$BL$24, 2, 0) &amp; ".",
"")</f>
        <v/>
      </c>
      <c r="AT24" s="61" t="str">
        <f>IFERROR(
   'Identitas Siswa'!E23 &amp; " " &amp; LOWER($AT$4) &amp; " " &amp; VLOOKUP(AR24, TP!$BK$5:$BL$24,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TP!$BK$5:$BL$24, 2, 0) &amp; ".",
"")</f>
        <v/>
      </c>
      <c r="AT25" s="61" t="str">
        <f>IFERROR(
   'Identitas Siswa'!E24 &amp; " " &amp; LOWER($AT$4) &amp; " " &amp; VLOOKUP(AR25, TP!$BK$5:$BL$24,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TP!$BK$5:$BL$24, 2, 0) &amp; ".",
"")</f>
        <v/>
      </c>
      <c r="AT26" s="61" t="str">
        <f>IFERROR(
   'Identitas Siswa'!E25 &amp; " " &amp; LOWER($AT$4) &amp; " " &amp; VLOOKUP(AR26, TP!$BK$5:$BL$24,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TP!$BK$5:$BL$24, 2, 0) &amp; ".",
"")</f>
        <v/>
      </c>
      <c r="AT27" s="61" t="str">
        <f>IFERROR(
   'Identitas Siswa'!E26 &amp; " " &amp; LOWER($AT$4) &amp; " " &amp; VLOOKUP(AR27, TP!$BK$5:$BL$24,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TP!$BK$5:$BL$24, 2, 0) &amp; ".",
"")</f>
        <v/>
      </c>
      <c r="AT28" s="61" t="str">
        <f>IFERROR(
   'Identitas Siswa'!E27 &amp; " " &amp; LOWER($AT$4) &amp; " " &amp; VLOOKUP(AR28, TP!$BK$5:$BL$24,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TP!$BK$5:$BL$24, 2, 0) &amp; ".",
"")</f>
        <v/>
      </c>
      <c r="AT29" s="61" t="str">
        <f>IFERROR(
   'Identitas Siswa'!E28 &amp; " " &amp; LOWER($AT$4) &amp; " " &amp; VLOOKUP(AR29, TP!$BK$5:$BL$24,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TP!$BK$5:$BL$24, 2, 0) &amp; ".",
"")</f>
        <v/>
      </c>
      <c r="AT30" s="61" t="str">
        <f>IFERROR(
   'Identitas Siswa'!E29 &amp; " " &amp; LOWER($AT$4) &amp; " " &amp; VLOOKUP(AR30, TP!$BK$5:$BL$24,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TP!$BK$5:$BL$24, 2, 0) &amp; ".",
"")</f>
        <v/>
      </c>
      <c r="AT31" s="61" t="str">
        <f>IFERROR(
   'Identitas Siswa'!E30 &amp; " " &amp; LOWER($AT$4) &amp; " " &amp; VLOOKUP(AR31, TP!$BK$5:$BL$24,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TP!$BK$5:$BL$24, 2, 0) &amp; ".",
"")</f>
        <v/>
      </c>
      <c r="AT32" s="61" t="str">
        <f>IFERROR(
   'Identitas Siswa'!E31 &amp; " " &amp; LOWER($AT$4) &amp; " " &amp; VLOOKUP(AR32, TP!$BK$5:$BL$24,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TP!$BK$5:$BL$24, 2, 0) &amp; ".",
"")</f>
        <v/>
      </c>
      <c r="AT33" s="61" t="str">
        <f>IFERROR(
   'Identitas Siswa'!E32 &amp; " " &amp; LOWER($AT$4) &amp; " " &amp; VLOOKUP(AR33, TP!$BK$5:$BL$24,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TP!$BK$5:$BL$24, 2, 0) &amp; ".",
"")</f>
        <v/>
      </c>
      <c r="AT34" s="61" t="str">
        <f>IFERROR(
   'Identitas Siswa'!E33 &amp; " " &amp; LOWER($AT$4) &amp; " " &amp; VLOOKUP(AR34, TP!$BK$5:$BL$24,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TP!$BK$5:$BL$24, 2, 0) &amp; ".",
"")</f>
        <v/>
      </c>
      <c r="AT35" s="61" t="str">
        <f>IFERROR(
   'Identitas Siswa'!E34 &amp; " " &amp; LOWER($AT$4) &amp; " " &amp; VLOOKUP(AR35, TP!$BK$5:$BL$24,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TP!$BK$5:$BL$24, 2, 0) &amp; ".",
"")</f>
        <v/>
      </c>
      <c r="AT36" s="61" t="str">
        <f>IFERROR(
   'Identitas Siswa'!E35 &amp; " " &amp; LOWER($AT$4) &amp; " " &amp; VLOOKUP(AR36, TP!$BK$5:$BL$24,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TP!$BK$5:$BL$24, 2, 0) &amp; ".",
"")</f>
        <v/>
      </c>
      <c r="AT37" s="61" t="str">
        <f>IFERROR(
   'Identitas Siswa'!E36 &amp; " " &amp; LOWER($AT$4) &amp; " " &amp; VLOOKUP(AR37, TP!$BK$5:$BL$24,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TP!$BK$5:$BL$24, 2, 0) &amp; ".",
"")</f>
        <v/>
      </c>
      <c r="AT38" s="61" t="str">
        <f>IFERROR(
   'Identitas Siswa'!E37 &amp; " " &amp; LOWER($AT$4) &amp; " " &amp; VLOOKUP(AR38, TP!$BK$5:$BL$24,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TP!$BK$5:$BL$24, 2, 0) &amp; ".",
"")</f>
        <v/>
      </c>
      <c r="AT39" s="61" t="str">
        <f>IFERROR(
   'Identitas Siswa'!E38 &amp; " " &amp; LOWER($AT$4) &amp; " " &amp; VLOOKUP(AR39, TP!$BK$5:$BL$24,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TP!$BK$5:$BL$24, 2, 0) &amp; ".",
"")</f>
        <v/>
      </c>
      <c r="AT40" s="61" t="str">
        <f>IFERROR(
   'Identitas Siswa'!E39 &amp; " " &amp; LOWER($AT$4) &amp; " " &amp; VLOOKUP(AR40, TP!$BK$5:$BL$24,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TP!$BK$5:$BL$24, 2, 0) &amp; ".",
"")</f>
        <v/>
      </c>
      <c r="AT41" s="61" t="str">
        <f>IFERROR(
   'Identitas Siswa'!E40 &amp; " " &amp; LOWER($AT$4) &amp; " " &amp; VLOOKUP(AR41, TP!$BK$5:$BL$24,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TP!$BK$5:$BL$24, 2, 0) &amp; ".",
"")</f>
        <v/>
      </c>
      <c r="AT42" s="61" t="str">
        <f>IFERROR(
   'Identitas Siswa'!E41 &amp; " " &amp; LOWER($AT$4) &amp; " " &amp; VLOOKUP(AR42, TP!$BK$5:$BL$24,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TP!$BK$5:$BL$24, 2, 0) &amp; ".",
"")</f>
        <v/>
      </c>
      <c r="AT43" s="61" t="str">
        <f>IFERROR(
   'Identitas Siswa'!E42 &amp; " " &amp; LOWER($AT$4) &amp; " " &amp; VLOOKUP(AR43, TP!$BK$5:$BL$24,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TP!$BK$5:$BL$24, 2, 0) &amp; ".",
"")</f>
        <v/>
      </c>
      <c r="AT44" s="61" t="str">
        <f>IFERROR(
   'Identitas Siswa'!E43 &amp; " " &amp; LOWER($AT$4) &amp; " " &amp; VLOOKUP(AR44, TP!$BK$5:$BL$24,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TP!$BK$5:$BL$24, 2, 0) &amp; ".",
"")</f>
        <v/>
      </c>
      <c r="AT45" s="61" t="str">
        <f>IFERROR(
   'Identitas Siswa'!E44 &amp; " " &amp; LOWER($AT$4) &amp; " " &amp; VLOOKUP(AR45, TP!$BK$5:$BL$24,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TP!$BK$5:$BL$24, 2, 0) &amp; ".",
"")</f>
        <v/>
      </c>
      <c r="AT46" s="61" t="str">
        <f>IFERROR(
   'Identitas Siswa'!E45 &amp; " " &amp; LOWER($AT$4) &amp; " " &amp; VLOOKUP(AR46, TP!$BK$5:$BL$24,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TP!$BK$5:$BL$24, 2, 0) &amp; ".",
"")</f>
        <v/>
      </c>
      <c r="AT47" s="61" t="str">
        <f>IFERROR(
   'Identitas Siswa'!E46 &amp; " " &amp; LOWER($AT$4) &amp; " " &amp; VLOOKUP(AR47, TP!$BK$5:$BL$24,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TP!$BK$5:$BL$24, 2, 0) &amp; ".",
"")</f>
        <v/>
      </c>
      <c r="AT48" s="61" t="str">
        <f>IFERROR(
   'Identitas Siswa'!E47 &amp; " " &amp; LOWER($AT$4) &amp; " " &amp; VLOOKUP(AR48, TP!$BK$5:$BL$24,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TP!$BK$5:$BL$24, 2, 0) &amp; ".",
"")</f>
        <v/>
      </c>
      <c r="AT49" s="61" t="str">
        <f>IFERROR(
   'Identitas Siswa'!E48 &amp; " " &amp; LOWER($AT$4) &amp; " " &amp; VLOOKUP(AR49, TP!$BK$5:$BL$24,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TP!$BK$5:$BL$24, 2, 0) &amp; ".",
"")</f>
        <v/>
      </c>
      <c r="AT50" s="61" t="str">
        <f>IFERROR(
   'Identitas Siswa'!E49 &amp; " " &amp; LOWER($AT$4) &amp; " " &amp; VLOOKUP(AR50, TP!$BK$5:$BL$24,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TP!$BK$5:$BL$24, 2, 0) &amp; ".",
"")</f>
        <v/>
      </c>
      <c r="AT51" s="61" t="str">
        <f>IFERROR(
   'Identitas Siswa'!E50 &amp; " " &amp; LOWER($AT$4) &amp; " " &amp; VLOOKUP(AR51, TP!$BK$5:$BL$24,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TP!$BK$5:$BL$24, 2, 0) &amp; ".",
"")</f>
        <v/>
      </c>
      <c r="AT52" s="61" t="str">
        <f>IFERROR(
   'Identitas Siswa'!E51 &amp; " " &amp; LOWER($AT$4) &amp; " " &amp; VLOOKUP(AR52, TP!$BK$5:$BL$24,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TP!$BK$5:$BL$24, 2, 0) &amp; ".",
"")</f>
        <v/>
      </c>
      <c r="AT53" s="61" t="str">
        <f>IFERROR(
   'Identitas Siswa'!E52 &amp; " " &amp; LOWER($AT$4) &amp; " " &amp; VLOOKUP(AR53, TP!$BK$5:$BL$24,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TP!$BK$5:$BL$24, 2, 0) &amp; ".",
"")</f>
        <v/>
      </c>
      <c r="AT54" s="61" t="str">
        <f>IFERROR(
   'Identitas Siswa'!E53 &amp; " " &amp; LOWER($AT$4) &amp; " " &amp; VLOOKUP(AR54, TP!$BK$5:$BL$24,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TP!$BK$5:$BL$24, 2, 0) &amp; ".",
"")</f>
        <v/>
      </c>
      <c r="AT55" s="61" t="str">
        <f>IFERROR(
   'Identitas Siswa'!E54 &amp; " " &amp; LOWER($AT$4) &amp; " " &amp; VLOOKUP(AR55, TP!$BK$5:$BL$24,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TP!$BK$5:$BL$24, 2, 0) &amp; ".",
"")</f>
        <v/>
      </c>
      <c r="AT56" s="61" t="str">
        <f>IFERROR(
   'Identitas Siswa'!E55 &amp; " " &amp; LOWER($AT$4) &amp; " " &amp; VLOOKUP(AR56, TP!$BK$5:$BL$24,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TP!$BK$5:$BL$24, 2, 0) &amp; ".",
"")</f>
        <v/>
      </c>
      <c r="AT57" s="61" t="str">
        <f>IFERROR(
   'Identitas Siswa'!E56 &amp; " " &amp; LOWER($AT$4) &amp; " " &amp; VLOOKUP(AR57, TP!$BK$5:$BL$24,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TP!$BK$5:$BL$24, 2, 0) &amp; ".",
"")</f>
        <v/>
      </c>
      <c r="AT58" s="61" t="str">
        <f>IFERROR(
   'Identitas Siswa'!E57 &amp; " " &amp; LOWER($AT$4) &amp; " " &amp; VLOOKUP(AR58, TP!$BK$5:$BL$24,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TP!$BK$5:$BL$24, 2, 0) &amp; ".",
"")</f>
        <v/>
      </c>
      <c r="AT59" s="61" t="str">
        <f>IFERROR(
   'Identitas Siswa'!E58 &amp; " " &amp; LOWER($AT$4) &amp; " " &amp; VLOOKUP(AR59, TP!$BK$5:$BL$24,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TP!$BK$5:$BL$24, 2, 0) &amp; ".",
"")</f>
        <v/>
      </c>
      <c r="AT60" s="61" t="str">
        <f>IFERROR(
   'Identitas Siswa'!E59 &amp; " " &amp; LOWER($AT$4) &amp; " " &amp; VLOOKUP(AR60, TP!$BK$5:$BL$24,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TP!$BK$5:$BL$24, 2, 0) &amp; ".",
"")</f>
        <v/>
      </c>
      <c r="AT61" s="61" t="str">
        <f>IFERROR(
   'Identitas Siswa'!E60 &amp; " " &amp; LOWER($AT$4) &amp; " " &amp; VLOOKUP(AR61, TP!$BK$5:$BL$24,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TP!$BK$5:$BL$24, 2, 0) &amp; ".",
"")</f>
        <v/>
      </c>
      <c r="AT62" s="61" t="str">
        <f>IFERROR(
   'Identitas Siswa'!E61 &amp; " " &amp; LOWER($AT$4) &amp; " " &amp; VLOOKUP(AR62, TP!$BK$5:$BL$24,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TP!$BK$5:$BL$24, 2, 0) &amp; ".",
"")</f>
        <v/>
      </c>
      <c r="AT63" s="61" t="str">
        <f>IFERROR(
   'Identitas Siswa'!E62 &amp; " " &amp; LOWER($AT$4) &amp; " " &amp; VLOOKUP(AR63, TP!$BK$5:$BL$24,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TP!$BK$5:$BL$24, 2, 0) &amp; ".",
"")</f>
        <v/>
      </c>
      <c r="AT64" s="61" t="str">
        <f>IFERROR(
   'Identitas Siswa'!E63 &amp; " " &amp; LOWER($AT$4) &amp; " " &amp; VLOOKUP(AR64, TP!$BK$5:$BL$24,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TP!$BK$5:$BL$24, 2, 0) &amp; ".",
"")</f>
        <v/>
      </c>
      <c r="AT65" s="61" t="str">
        <f>IFERROR(
   'Identitas Siswa'!E64 &amp; " " &amp; LOWER($AT$4) &amp; " " &amp; VLOOKUP(AR65, TP!$BK$5:$BL$24,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TP!$BK$5:$BL$24, 2, 0) &amp; ".",
"")</f>
        <v/>
      </c>
      <c r="AT66" s="61" t="str">
        <f>IFERROR(
   'Identitas Siswa'!E65 &amp; " " &amp; LOWER($AT$4) &amp; " " &amp; VLOOKUP(AR66, TP!$BK$5:$BL$24,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TP!$BK$5:$BL$24, 2, 0) &amp; ".",
"")</f>
        <v/>
      </c>
      <c r="AT67" s="61" t="str">
        <f>IFERROR(
   'Identitas Siswa'!E66 &amp; " " &amp; LOWER($AT$4) &amp; " " &amp; VLOOKUP(AR67, TP!$BK$5:$BL$24,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TP!$BK$5:$BL$24, 2, 0) &amp; ".",
"")</f>
        <v/>
      </c>
      <c r="AT68" s="61" t="str">
        <f>IFERROR(
   'Identitas Siswa'!E67 &amp; " " &amp; LOWER($AT$4) &amp; " " &amp; VLOOKUP(AR68, TP!$BK$5:$BL$24,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63" priority="32">
      <formula>$C$8=""</formula>
    </cfRule>
  </conditionalFormatting>
  <conditionalFormatting sqref="D9:D68">
    <cfRule type="expression" dxfId="62" priority="31">
      <formula>$D$8=""</formula>
    </cfRule>
  </conditionalFormatting>
  <conditionalFormatting sqref="E9:E68">
    <cfRule type="expression" dxfId="61" priority="30">
      <formula>$E$8=""</formula>
    </cfRule>
  </conditionalFormatting>
  <conditionalFormatting sqref="F9:F68">
    <cfRule type="expression" dxfId="60" priority="29">
      <formula>$F$8=""</formula>
    </cfRule>
  </conditionalFormatting>
  <conditionalFormatting sqref="G9:G68">
    <cfRule type="expression" dxfId="59" priority="28">
      <formula>$G$8=""</formula>
    </cfRule>
  </conditionalFormatting>
  <conditionalFormatting sqref="H9:H68">
    <cfRule type="expression" dxfId="58" priority="27">
      <formula>$H$8=""</formula>
    </cfRule>
  </conditionalFormatting>
  <conditionalFormatting sqref="I9:I68">
    <cfRule type="expression" dxfId="57" priority="26">
      <formula>$I$8=""</formula>
    </cfRule>
  </conditionalFormatting>
  <conditionalFormatting sqref="J9:J68">
    <cfRule type="expression" dxfId="56" priority="25">
      <formula>$J$8=""</formula>
    </cfRule>
  </conditionalFormatting>
  <conditionalFormatting sqref="K9:K68">
    <cfRule type="expression" dxfId="55" priority="24">
      <formula>$K$8=""</formula>
    </cfRule>
  </conditionalFormatting>
  <conditionalFormatting sqref="L9:L68">
    <cfRule type="expression" dxfId="54" priority="23">
      <formula>$L$8=""</formula>
    </cfRule>
  </conditionalFormatting>
  <conditionalFormatting sqref="M9:M68">
    <cfRule type="expression" dxfId="53" priority="22">
      <formula>$M$8=""</formula>
    </cfRule>
  </conditionalFormatting>
  <conditionalFormatting sqref="N9:N68">
    <cfRule type="expression" dxfId="52" priority="21">
      <formula>$N$8=""</formula>
    </cfRule>
  </conditionalFormatting>
  <conditionalFormatting sqref="O9:O68">
    <cfRule type="expression" dxfId="51" priority="20">
      <formula>$O$8=""</formula>
    </cfRule>
  </conditionalFormatting>
  <conditionalFormatting sqref="P9:P68">
    <cfRule type="expression" dxfId="50" priority="19">
      <formula>$P$8=""</formula>
    </cfRule>
  </conditionalFormatting>
  <conditionalFormatting sqref="Q9:Q68">
    <cfRule type="expression" dxfId="49" priority="18">
      <formula>$Q$8=""</formula>
    </cfRule>
  </conditionalFormatting>
  <conditionalFormatting sqref="R9:R68">
    <cfRule type="expression" dxfId="48" priority="17">
      <formula>$R$8=""</formula>
    </cfRule>
  </conditionalFormatting>
  <conditionalFormatting sqref="S9:S68">
    <cfRule type="expression" dxfId="47" priority="16">
      <formula>$S$8=""</formula>
    </cfRule>
  </conditionalFormatting>
  <conditionalFormatting sqref="T9:T68">
    <cfRule type="expression" dxfId="46" priority="15">
      <formula>$T$8=""</formula>
    </cfRule>
  </conditionalFormatting>
  <conditionalFormatting sqref="U9:U68">
    <cfRule type="expression" dxfId="45" priority="14">
      <formula>$U$8=""</formula>
    </cfRule>
  </conditionalFormatting>
  <conditionalFormatting sqref="V9:V68">
    <cfRule type="expression" dxfId="44" priority="13">
      <formula>$V$8=""</formula>
    </cfRule>
  </conditionalFormatting>
  <conditionalFormatting sqref="W9:W68">
    <cfRule type="expression" dxfId="43" priority="12">
      <formula>$W$8=""</formula>
    </cfRule>
  </conditionalFormatting>
  <conditionalFormatting sqref="X9:X68">
    <cfRule type="expression" dxfId="42" priority="11">
      <formula>$X$8=""</formula>
    </cfRule>
  </conditionalFormatting>
  <conditionalFormatting sqref="Y9:Y68">
    <cfRule type="expression" dxfId="41" priority="10">
      <formula>$Y$8=""</formula>
    </cfRule>
  </conditionalFormatting>
  <conditionalFormatting sqref="Z9:Z68">
    <cfRule type="expression" dxfId="40" priority="9">
      <formula>$Z$8=""</formula>
    </cfRule>
  </conditionalFormatting>
  <conditionalFormatting sqref="AA9:AA68">
    <cfRule type="expression" dxfId="39" priority="8">
      <formula>$AA$8=""</formula>
    </cfRule>
  </conditionalFormatting>
  <conditionalFormatting sqref="AB9:AB68">
    <cfRule type="expression" dxfId="38" priority="7">
      <formula>$AB$8=""</formula>
    </cfRule>
  </conditionalFormatting>
  <conditionalFormatting sqref="AC9:AC68">
    <cfRule type="expression" dxfId="37" priority="6">
      <formula>$AC$8=""</formula>
    </cfRule>
  </conditionalFormatting>
  <conditionalFormatting sqref="AD9:AD68">
    <cfRule type="expression" dxfId="36" priority="5">
      <formula>$AD$8=""</formula>
    </cfRule>
  </conditionalFormatting>
  <conditionalFormatting sqref="AE9:AE68">
    <cfRule type="expression" dxfId="35" priority="4">
      <formula>$AE$8=""</formula>
    </cfRule>
  </conditionalFormatting>
  <conditionalFormatting sqref="AF9:AF68">
    <cfRule type="expression" dxfId="34" priority="3">
      <formula>$AF$8=""</formula>
    </cfRule>
  </conditionalFormatting>
  <conditionalFormatting sqref="AG9:AG68">
    <cfRule type="expression" dxfId="33" priority="2">
      <formula>$AG$8=""</formula>
    </cfRule>
  </conditionalFormatting>
  <conditionalFormatting sqref="AH9:AH68">
    <cfRule type="expression" dxfId="3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12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812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39CBE-A8F1-44AB-8343-4769EAF7A711}">
  <sheetPr codeName="Sheet21"/>
  <dimension ref="A1:BH70"/>
  <sheetViews>
    <sheetView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5" t="s">
        <v>359</v>
      </c>
    </row>
    <row r="2" spans="1:58" x14ac:dyDescent="0.25">
      <c r="AT2" s="286"/>
    </row>
    <row r="3" spans="1:58" x14ac:dyDescent="0.25">
      <c r="AS3" s="64" t="s">
        <v>352</v>
      </c>
      <c r="AT3" s="166" t="s">
        <v>348</v>
      </c>
    </row>
    <row r="4" spans="1:58" ht="15.75" thickBot="1" x14ac:dyDescent="0.3">
      <c r="AS4" s="64" t="s">
        <v>353</v>
      </c>
      <c r="AT4" s="167" t="s">
        <v>349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4" t="s">
        <v>53</v>
      </c>
      <c r="B7" s="287" t="s">
        <v>358</v>
      </c>
      <c r="C7" s="288" t="str">
        <f>'MAPEL &amp; BOBOT'!F5</f>
        <v>SUMATIF TUJUAN PEMBELAJARAN</v>
      </c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 t="str">
        <f>'MAPEL &amp; BOBOT'!F6</f>
        <v>SUMATIF LINGKUP MATERI</v>
      </c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9" t="str">
        <f>'MAPEL &amp; BOBOT'!F7</f>
        <v>SUMATIF AKHIR SEMESTER</v>
      </c>
      <c r="AJ7" s="289"/>
      <c r="AK7" s="290" t="str">
        <f>"NA "&amp;C7</f>
        <v>NA SUMATIF TUJUAN PEMBELAJARAN</v>
      </c>
      <c r="AL7" s="290" t="str">
        <f>"NA "&amp;W7</f>
        <v>NA SUMATIF LINGKUP MATERI</v>
      </c>
      <c r="AM7" s="290" t="str">
        <f>"NA "&amp;AI7</f>
        <v>NA SUMATIF AKHIR SEMESTER</v>
      </c>
      <c r="AN7" s="290" t="s">
        <v>351</v>
      </c>
      <c r="AO7" s="283" t="s">
        <v>354</v>
      </c>
      <c r="AP7" s="283"/>
      <c r="AQ7" s="283" t="s">
        <v>355</v>
      </c>
      <c r="AR7" s="283"/>
      <c r="AS7" s="284" t="s">
        <v>345</v>
      </c>
      <c r="AT7" s="284"/>
      <c r="AU7" s="15"/>
    </row>
    <row r="8" spans="1:58" customFormat="1" ht="71.25" customHeight="1" x14ac:dyDescent="0.25">
      <c r="A8" s="284"/>
      <c r="B8" s="287"/>
      <c r="C8" s="52" t="str" cm="1">
        <f t="array" ref="C8:V8">IF(TRANSPOSE(TP!BO5:BO24)="", "", TRANSPOSE(TP!BO5:BO24))</f>
        <v>1P 1</v>
      </c>
      <c r="D8" s="52" t="str">
        <v>TP 2</v>
      </c>
      <c r="E8" s="52" t="str">
        <v/>
      </c>
      <c r="F8" s="52" t="str">
        <v/>
      </c>
      <c r="G8" s="52" t="str">
        <v/>
      </c>
      <c r="H8" s="52" t="str">
        <v/>
      </c>
      <c r="I8" s="52" t="str">
        <v/>
      </c>
      <c r="J8" s="52" t="str">
        <v/>
      </c>
      <c r="K8" s="52" t="str">
        <v/>
      </c>
      <c r="L8" s="52" t="str">
        <v/>
      </c>
      <c r="M8" s="52" t="str">
        <v/>
      </c>
      <c r="N8" s="52" t="str">
        <v/>
      </c>
      <c r="O8" s="52" t="str">
        <v/>
      </c>
      <c r="P8" s="52" t="str">
        <v/>
      </c>
      <c r="Q8" s="52" t="str">
        <v/>
      </c>
      <c r="R8" s="52" t="str">
        <v/>
      </c>
      <c r="S8" s="52" t="str">
        <v/>
      </c>
      <c r="T8" s="52" t="str">
        <v/>
      </c>
      <c r="U8" s="52" t="str">
        <v/>
      </c>
      <c r="V8" s="52" t="str">
        <v/>
      </c>
      <c r="W8" s="53" t="str" cm="1">
        <f t="array" ref="W8:AH8">IF(TRANSPOSE(TP!BN5:BN16)="", "", TRANSPOSE(TP!BN5:BN16))</f>
        <v>Materi 1</v>
      </c>
      <c r="X8" s="53" t="str">
        <v/>
      </c>
      <c r="Y8" s="54" t="str">
        <v/>
      </c>
      <c r="Z8" s="54" t="str">
        <v/>
      </c>
      <c r="AA8" s="54" t="str">
        <v/>
      </c>
      <c r="AB8" s="54" t="str">
        <v/>
      </c>
      <c r="AC8" s="54" t="str">
        <v/>
      </c>
      <c r="AD8" s="54" t="str">
        <v/>
      </c>
      <c r="AE8" s="54" t="str">
        <v/>
      </c>
      <c r="AF8" s="54" t="str">
        <v/>
      </c>
      <c r="AG8" s="54" t="str">
        <v/>
      </c>
      <c r="AH8" s="54" t="str">
        <v/>
      </c>
      <c r="AI8" s="55" t="s">
        <v>343</v>
      </c>
      <c r="AJ8" s="55" t="s">
        <v>344</v>
      </c>
      <c r="AK8" s="291"/>
      <c r="AL8" s="291"/>
      <c r="AM8" s="291"/>
      <c r="AN8" s="291"/>
      <c r="AO8" s="56" t="s">
        <v>356</v>
      </c>
      <c r="AP8" s="56" t="s">
        <v>357</v>
      </c>
      <c r="AQ8" s="56" t="s">
        <v>356</v>
      </c>
      <c r="AR8" s="56" t="s">
        <v>357</v>
      </c>
      <c r="AS8" s="52" t="s">
        <v>346</v>
      </c>
      <c r="AT8" s="52" t="s">
        <v>347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7"/>
      <c r="BA8" s="29" t="s">
        <v>350</v>
      </c>
    </row>
    <row r="9" spans="1:58" customFormat="1" ht="42" customHeight="1" x14ac:dyDescent="0.25">
      <c r="A9" s="59">
        <f>'Identitas Siswa'!A8</f>
        <v>1</v>
      </c>
      <c r="B9" s="65" t="str">
        <f>IF('Identitas Siswa'!D8=0,"",'Identitas Siswa'!D8)</f>
        <v>Abhy Arfa Ridho Hibatullah</v>
      </c>
      <c r="C9" s="165">
        <v>90</v>
      </c>
      <c r="D9" s="165">
        <v>90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>
        <v>90</v>
      </c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>
        <v>90</v>
      </c>
      <c r="AJ9" s="165">
        <v>90</v>
      </c>
      <c r="AK9" s="60">
        <f>IFERROR(AVERAGE(C9:V9),0)</f>
        <v>90</v>
      </c>
      <c r="AL9" s="60">
        <f>IFERROR(AVERAGE(W9:AH9),0)</f>
        <v>90</v>
      </c>
      <c r="AM9" s="60">
        <f>IFERROR(AVERAGE(AI9:AJ9),0)</f>
        <v>90</v>
      </c>
      <c r="AN9" s="60">
        <f>IFERROR(ROUND(IFERROR(SUM($AW9:$AY9)/$BA9,""),0),"")</f>
        <v>90</v>
      </c>
      <c r="AO9" s="59">
        <f>MAX(C9:V9)</f>
        <v>90</v>
      </c>
      <c r="AP9" s="59" t="str">
        <f>IFERROR(INDEX(C$8:V$8, MATCH(AO9, C9:V9, 0)), "")</f>
        <v>1P 1</v>
      </c>
      <c r="AQ9" s="59">
        <f>MIN(C9:V9)</f>
        <v>90</v>
      </c>
      <c r="AR9" s="59" t="str">
        <f>IFERROR(INDEX(C$8:V$8, MATCH(AQ9, C9:V9, 0)), "")</f>
        <v>1P 1</v>
      </c>
      <c r="AS9" s="61" t="str">
        <f>IFERROR(
   'Identitas Siswa'!E8 &amp; " " &amp; LOWER($AT$3) &amp; " " &amp; VLOOKUP(AP9, TP!$BO$5:$BP$24, 2, 0) &amp; ".",
"")</f>
        <v>Abhy menunjukkan penguasaan dalam Tujuan Pembelajaran 1.</v>
      </c>
      <c r="AT9" s="61" t="str">
        <f>IFERROR(
   'Identitas Siswa'!E8 &amp; " " &amp; LOWER($AT$4) &amp; " " &amp; VLOOKUP(AR9, TP!$BO$5:$BP$24, 2, 0) &amp; ".",
"")</f>
        <v>Abhy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7"/>
      <c r="BA9" s="29">
        <f>SUM(SUM(AK9&gt;0)*$AZ$5,SUM(AL9&gt;0)*$BA$5,SUM(AM9&gt;0)*$BB$5)</f>
        <v>4</v>
      </c>
    </row>
    <row r="10" spans="1:58" customFormat="1" ht="24" x14ac:dyDescent="0.25">
      <c r="A10" s="59">
        <f>'Identitas Siswa'!A9</f>
        <v>2</v>
      </c>
      <c r="B10" s="65" t="str">
        <f>IF('Identitas Siswa'!D9=0,"",'Identitas Siswa'!D9)</f>
        <v>aku saja</v>
      </c>
      <c r="C10" s="165">
        <v>80</v>
      </c>
      <c r="D10" s="165">
        <v>80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>
        <v>80</v>
      </c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>
        <v>80</v>
      </c>
      <c r="AJ10" s="165">
        <v>80</v>
      </c>
      <c r="AK10" s="60">
        <f>IFERROR(AVERAGE(C10:V10),0)</f>
        <v>80</v>
      </c>
      <c r="AL10" s="60">
        <f>IFERROR(AVERAGE(W10:AH10),0)</f>
        <v>80</v>
      </c>
      <c r="AM10" s="60">
        <f>IFERROR(AVERAGE(AI10:AJ10),0)</f>
        <v>80</v>
      </c>
      <c r="AN10" s="60">
        <f>IFERROR(ROUND(IFERROR(SUM($AW10:$AY10)/$BA10,""),0),"")</f>
        <v>80</v>
      </c>
      <c r="AO10" s="59">
        <f>MAX(C10:V10)</f>
        <v>80</v>
      </c>
      <c r="AP10" s="59" t="str">
        <f>IFERROR(INDEX(C$8:V$8, MATCH(AO10, C10:V10, 0)), "")</f>
        <v>1P 1</v>
      </c>
      <c r="AQ10" s="59">
        <f>MIN(C10:V10)</f>
        <v>80</v>
      </c>
      <c r="AR10" s="59" t="str">
        <f>IFERROR(INDEX(C$8:V$8, MATCH(AQ10, C10:V10, 0)), "")</f>
        <v>1P 1</v>
      </c>
      <c r="AS10" s="61" t="str">
        <f>IFERROR(
   'Identitas Siswa'!E9 &amp; " " &amp; LOWER($AT$3) &amp; " " &amp; VLOOKUP(AP10, TP!$BO$5:$BP$24, 2, 0) &amp; ".",
"")</f>
        <v>aku menunjukkan penguasaan dalam Tujuan Pembelajaran 1.</v>
      </c>
      <c r="AT10" s="61" t="str">
        <f>IFERROR(
   'Identitas Siswa'!E9 &amp; " " &amp; LOWER($AT$4) &amp; " " &amp; VLOOKUP(AR10, TP!$BO$5:$BP$24, 2, 0) &amp; ".",
"")</f>
        <v>aku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7"/>
      <c r="BA10" s="29">
        <f t="shared" ref="BA10:BA68" si="2">SUM(SUM(AK10&gt;0)*$AZ$5,SUM(AL10&gt;0)*$BA$5,SUM(AM10&gt;0)*$BB$5)</f>
        <v>4</v>
      </c>
      <c r="BE10" s="51"/>
      <c r="BF10" s="51"/>
    </row>
    <row r="11" spans="1:58" customFormat="1" x14ac:dyDescent="0.25">
      <c r="A11" s="59">
        <f>'Identitas Siswa'!A10</f>
        <v>3</v>
      </c>
      <c r="B11" s="65" t="str">
        <f>IF('Identitas Siswa'!D10=0,"",'Identitas Siswa'!D10)</f>
        <v/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60">
        <f t="shared" ref="AK11:AK68" si="3">IFERROR(AVERAGE(C11:V11),0)</f>
        <v>0</v>
      </c>
      <c r="AL11" s="60">
        <f t="shared" ref="AL11:AL68" si="4">IFERROR(AVERAGE(W11:AH11),0)</f>
        <v>0</v>
      </c>
      <c r="AM11" s="60">
        <f t="shared" ref="AM11:AM68" si="5">IFERROR(AVERAGE(AI11:AJ11),0)</f>
        <v>0</v>
      </c>
      <c r="AN11" s="60" t="str">
        <f t="shared" ref="AN11:AN68" si="6">IFERROR(ROUND(IFERROR(SUM($AW11:$AY11)/$BA11,""),0),"")</f>
        <v/>
      </c>
      <c r="AO11" s="59">
        <f t="shared" ref="AO11:AO68" si="7">MAX(C11:V11)</f>
        <v>0</v>
      </c>
      <c r="AP11" s="59" t="str">
        <f t="shared" ref="AP11:AP68" si="8">IFERROR(INDEX(C$8:V$8, MATCH(AO11, C11:V11, 0)), "")</f>
        <v/>
      </c>
      <c r="AQ11" s="59">
        <f t="shared" ref="AQ11:AQ68" si="9">MIN(C11:V11)</f>
        <v>0</v>
      </c>
      <c r="AR11" s="59" t="str">
        <f t="shared" ref="AR11:AR68" si="10">IFERROR(INDEX(C$8:V$8, MATCH(AQ11, C11:V11, 0)), "")</f>
        <v/>
      </c>
      <c r="AS11" s="61" t="str">
        <f>IFERROR(
   'Identitas Siswa'!E10 &amp; " " &amp; LOWER($AT$3) &amp; " " &amp; VLOOKUP(AP11, TP!$BO$5:$BP$24, 2, 0) &amp; ".",
"")</f>
        <v/>
      </c>
      <c r="AT11" s="61" t="str">
        <f>IFERROR(
   'Identitas Siswa'!E10 &amp; " " &amp; LOWER($AT$4) &amp; " " &amp; VLOOKUP(AR11, TP!$BO$5:$BP$24,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7"/>
      <c r="BA11" s="29">
        <f t="shared" si="2"/>
        <v>0</v>
      </c>
      <c r="BE11" s="51"/>
      <c r="BF11" s="51"/>
    </row>
    <row r="12" spans="1:58" customFormat="1" hidden="1" x14ac:dyDescent="0.25">
      <c r="A12" s="59">
        <f>'Identitas Siswa'!A11</f>
        <v>4</v>
      </c>
      <c r="B12" s="65" t="str">
        <f>IF('Identitas Siswa'!D11=0,"",'Identitas Siswa'!D11)</f>
        <v/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60">
        <f t="shared" si="3"/>
        <v>0</v>
      </c>
      <c r="AL12" s="60">
        <f t="shared" si="4"/>
        <v>0</v>
      </c>
      <c r="AM12" s="60">
        <f t="shared" si="5"/>
        <v>0</v>
      </c>
      <c r="AN12" s="60" t="str">
        <f t="shared" si="6"/>
        <v/>
      </c>
      <c r="AO12" s="59">
        <f t="shared" si="7"/>
        <v>0</v>
      </c>
      <c r="AP12" s="59" t="str">
        <f t="shared" si="8"/>
        <v/>
      </c>
      <c r="AQ12" s="59">
        <f t="shared" si="9"/>
        <v>0</v>
      </c>
      <c r="AR12" s="59" t="str">
        <f t="shared" si="10"/>
        <v/>
      </c>
      <c r="AS12" s="61" t="str">
        <f>IFERROR(
   'Identitas Siswa'!E11 &amp; " " &amp; LOWER($AT$3) &amp; " " &amp; VLOOKUP(AP12, TP!$BO$5:$BP$24, 2, 0) &amp; ".",
"")</f>
        <v/>
      </c>
      <c r="AT12" s="61" t="str">
        <f>IFERROR(
   'Identitas Siswa'!E11 &amp; " " &amp; LOWER($AT$4) &amp; " " &amp; VLOOKUP(AR12, TP!$BO$5:$BP$24,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7"/>
      <c r="BA12" s="29">
        <f t="shared" si="2"/>
        <v>0</v>
      </c>
      <c r="BE12" s="51"/>
      <c r="BF12" s="51"/>
    </row>
    <row r="13" spans="1:58" customFormat="1" hidden="1" x14ac:dyDescent="0.25">
      <c r="A13" s="59">
        <f>'Identitas Siswa'!A12</f>
        <v>5</v>
      </c>
      <c r="B13" s="65" t="str">
        <f>IF('Identitas Siswa'!D12=0,"",'Identitas Siswa'!D12)</f>
        <v/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60">
        <f t="shared" si="3"/>
        <v>0</v>
      </c>
      <c r="AL13" s="60">
        <f t="shared" si="4"/>
        <v>0</v>
      </c>
      <c r="AM13" s="60">
        <f t="shared" si="5"/>
        <v>0</v>
      </c>
      <c r="AN13" s="60" t="str">
        <f t="shared" si="6"/>
        <v/>
      </c>
      <c r="AO13" s="59">
        <f t="shared" si="7"/>
        <v>0</v>
      </c>
      <c r="AP13" s="59" t="str">
        <f t="shared" si="8"/>
        <v/>
      </c>
      <c r="AQ13" s="59">
        <f t="shared" si="9"/>
        <v>0</v>
      </c>
      <c r="AR13" s="59" t="str">
        <f t="shared" si="10"/>
        <v/>
      </c>
      <c r="AS13" s="61" t="str">
        <f>IFERROR(
   'Identitas Siswa'!E12 &amp; " " &amp; LOWER($AT$3) &amp; " " &amp; VLOOKUP(AP13, TP!$BO$5:$BP$24, 2, 0) &amp; ".",
"")</f>
        <v/>
      </c>
      <c r="AT13" s="61" t="str">
        <f>IFERROR(
   'Identitas Siswa'!E12 &amp; " " &amp; LOWER($AT$4) &amp; " " &amp; VLOOKUP(AR13, TP!$BO$5:$BP$24,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7"/>
      <c r="BA13" s="29">
        <f t="shared" si="2"/>
        <v>0</v>
      </c>
      <c r="BE13" s="51"/>
      <c r="BF13" s="51"/>
    </row>
    <row r="14" spans="1:58" customFormat="1" hidden="1" x14ac:dyDescent="0.25">
      <c r="A14" s="59">
        <f>'Identitas Siswa'!A13</f>
        <v>6</v>
      </c>
      <c r="B14" s="65" t="str">
        <f>IF('Identitas Siswa'!D13=0,"",'Identitas Siswa'!D13)</f>
        <v/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60">
        <f t="shared" si="3"/>
        <v>0</v>
      </c>
      <c r="AL14" s="60">
        <f t="shared" si="4"/>
        <v>0</v>
      </c>
      <c r="AM14" s="60">
        <f t="shared" si="5"/>
        <v>0</v>
      </c>
      <c r="AN14" s="60" t="str">
        <f t="shared" si="6"/>
        <v/>
      </c>
      <c r="AO14" s="59">
        <f t="shared" si="7"/>
        <v>0</v>
      </c>
      <c r="AP14" s="59" t="str">
        <f t="shared" si="8"/>
        <v/>
      </c>
      <c r="AQ14" s="59">
        <f t="shared" si="9"/>
        <v>0</v>
      </c>
      <c r="AR14" s="59" t="str">
        <f t="shared" si="10"/>
        <v/>
      </c>
      <c r="AS14" s="61" t="str">
        <f>IFERROR(
   'Identitas Siswa'!E13 &amp; " " &amp; LOWER($AT$3) &amp; " " &amp; VLOOKUP(AP14, TP!$BO$5:$BP$24, 2, 0) &amp; ".",
"")</f>
        <v/>
      </c>
      <c r="AT14" s="61" t="str">
        <f>IFERROR(
   'Identitas Siswa'!E13 &amp; " " &amp; LOWER($AT$4) &amp; " " &amp; VLOOKUP(AR14, TP!$BO$5:$BP$24,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7"/>
      <c r="BA14" s="29">
        <f t="shared" si="2"/>
        <v>0</v>
      </c>
      <c r="BE14" s="51"/>
      <c r="BF14" s="51"/>
    </row>
    <row r="15" spans="1:58" customFormat="1" hidden="1" x14ac:dyDescent="0.25">
      <c r="A15" s="59">
        <f>'Identitas Siswa'!A14</f>
        <v>7</v>
      </c>
      <c r="B15" s="65" t="str">
        <f>IF('Identitas Siswa'!D14=0,"",'Identitas Siswa'!D14)</f>
        <v/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60">
        <f t="shared" si="3"/>
        <v>0</v>
      </c>
      <c r="AL15" s="60">
        <f t="shared" si="4"/>
        <v>0</v>
      </c>
      <c r="AM15" s="60">
        <f t="shared" si="5"/>
        <v>0</v>
      </c>
      <c r="AN15" s="60" t="str">
        <f t="shared" si="6"/>
        <v/>
      </c>
      <c r="AO15" s="59">
        <f t="shared" si="7"/>
        <v>0</v>
      </c>
      <c r="AP15" s="59" t="str">
        <f t="shared" si="8"/>
        <v/>
      </c>
      <c r="AQ15" s="59">
        <f t="shared" si="9"/>
        <v>0</v>
      </c>
      <c r="AR15" s="59" t="str">
        <f t="shared" si="10"/>
        <v/>
      </c>
      <c r="AS15" s="61" t="str">
        <f>IFERROR(
   'Identitas Siswa'!E14 &amp; " " &amp; LOWER($AT$3) &amp; " " &amp; VLOOKUP(AP15, TP!$BO$5:$BP$24, 2, 0) &amp; ".",
"")</f>
        <v/>
      </c>
      <c r="AT15" s="61" t="str">
        <f>IFERROR(
   'Identitas Siswa'!E14 &amp; " " &amp; LOWER($AT$4) &amp; " " &amp; VLOOKUP(AR15, TP!$BO$5:$BP$24,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7"/>
      <c r="BA15" s="29">
        <f t="shared" si="2"/>
        <v>0</v>
      </c>
      <c r="BE15" s="51"/>
      <c r="BF15" s="51"/>
    </row>
    <row r="16" spans="1:58" customFormat="1" hidden="1" x14ac:dyDescent="0.25">
      <c r="A16" s="59">
        <f>'Identitas Siswa'!A15</f>
        <v>8</v>
      </c>
      <c r="B16" s="65" t="str">
        <f>IF('Identitas Siswa'!D15=0,"",'Identitas Siswa'!D15)</f>
        <v/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60">
        <f t="shared" si="3"/>
        <v>0</v>
      </c>
      <c r="AL16" s="60">
        <f t="shared" si="4"/>
        <v>0</v>
      </c>
      <c r="AM16" s="60">
        <f t="shared" si="5"/>
        <v>0</v>
      </c>
      <c r="AN16" s="60" t="str">
        <f t="shared" si="6"/>
        <v/>
      </c>
      <c r="AO16" s="59">
        <f t="shared" si="7"/>
        <v>0</v>
      </c>
      <c r="AP16" s="59" t="str">
        <f t="shared" si="8"/>
        <v/>
      </c>
      <c r="AQ16" s="59">
        <f t="shared" si="9"/>
        <v>0</v>
      </c>
      <c r="AR16" s="59" t="str">
        <f t="shared" si="10"/>
        <v/>
      </c>
      <c r="AS16" s="61" t="str">
        <f>IFERROR(
   'Identitas Siswa'!E15 &amp; " " &amp; LOWER($AT$3) &amp; " " &amp; VLOOKUP(AP16, TP!$BO$5:$BP$24, 2, 0) &amp; ".",
"")</f>
        <v/>
      </c>
      <c r="AT16" s="61" t="str">
        <f>IFERROR(
   'Identitas Siswa'!E15 &amp; " " &amp; LOWER($AT$4) &amp; " " &amp; VLOOKUP(AR16, TP!$BO$5:$BP$24,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7"/>
      <c r="BA16" s="29">
        <f t="shared" si="2"/>
        <v>0</v>
      </c>
      <c r="BE16" s="51"/>
      <c r="BF16" s="51"/>
    </row>
    <row r="17" spans="1:58" customFormat="1" hidden="1" x14ac:dyDescent="0.25">
      <c r="A17" s="59">
        <f>'Identitas Siswa'!A16</f>
        <v>9</v>
      </c>
      <c r="B17" s="65" t="str">
        <f>IF('Identitas Siswa'!D16=0,"",'Identitas Siswa'!D16)</f>
        <v/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60">
        <f t="shared" si="3"/>
        <v>0</v>
      </c>
      <c r="AL17" s="60">
        <f t="shared" si="4"/>
        <v>0</v>
      </c>
      <c r="AM17" s="60">
        <f t="shared" si="5"/>
        <v>0</v>
      </c>
      <c r="AN17" s="60" t="str">
        <f t="shared" si="6"/>
        <v/>
      </c>
      <c r="AO17" s="59">
        <f t="shared" si="7"/>
        <v>0</v>
      </c>
      <c r="AP17" s="59" t="str">
        <f t="shared" si="8"/>
        <v/>
      </c>
      <c r="AQ17" s="59">
        <f t="shared" si="9"/>
        <v>0</v>
      </c>
      <c r="AR17" s="59" t="str">
        <f t="shared" si="10"/>
        <v/>
      </c>
      <c r="AS17" s="61" t="str">
        <f>IFERROR(
   'Identitas Siswa'!E16 &amp; " " &amp; LOWER($AT$3) &amp; " " &amp; VLOOKUP(AP17, TP!$BO$5:$BP$24, 2, 0) &amp; ".",
"")</f>
        <v/>
      </c>
      <c r="AT17" s="61" t="str">
        <f>IFERROR(
   'Identitas Siswa'!E16 &amp; " " &amp; LOWER($AT$4) &amp; " " &amp; VLOOKUP(AR17, TP!$BO$5:$BP$24,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7"/>
      <c r="BA17" s="29">
        <f t="shared" si="2"/>
        <v>0</v>
      </c>
      <c r="BE17" s="51"/>
      <c r="BF17" s="51"/>
    </row>
    <row r="18" spans="1:58" customFormat="1" hidden="1" x14ac:dyDescent="0.25">
      <c r="A18" s="59">
        <f>'Identitas Siswa'!A17</f>
        <v>10</v>
      </c>
      <c r="B18" s="65" t="str">
        <f>IF('Identitas Siswa'!D17=0,"",'Identitas Siswa'!D17)</f>
        <v/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60">
        <f t="shared" si="3"/>
        <v>0</v>
      </c>
      <c r="AL18" s="60">
        <f t="shared" si="4"/>
        <v>0</v>
      </c>
      <c r="AM18" s="60">
        <f t="shared" si="5"/>
        <v>0</v>
      </c>
      <c r="AN18" s="60" t="str">
        <f t="shared" si="6"/>
        <v/>
      </c>
      <c r="AO18" s="59">
        <f t="shared" si="7"/>
        <v>0</v>
      </c>
      <c r="AP18" s="59" t="str">
        <f t="shared" si="8"/>
        <v/>
      </c>
      <c r="AQ18" s="59">
        <f t="shared" si="9"/>
        <v>0</v>
      </c>
      <c r="AR18" s="59" t="str">
        <f t="shared" si="10"/>
        <v/>
      </c>
      <c r="AS18" s="61" t="str">
        <f>IFERROR(
   'Identitas Siswa'!E17 &amp; " " &amp; LOWER($AT$3) &amp; " " &amp; VLOOKUP(AP18, TP!$BO$5:$BP$24, 2, 0) &amp; ".",
"")</f>
        <v/>
      </c>
      <c r="AT18" s="61" t="str">
        <f>IFERROR(
   'Identitas Siswa'!E17 &amp; " " &amp; LOWER($AT$4) &amp; " " &amp; VLOOKUP(AR18, TP!$BO$5:$BP$24,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7"/>
      <c r="BA18" s="29">
        <f t="shared" si="2"/>
        <v>0</v>
      </c>
      <c r="BE18" s="51"/>
      <c r="BF18" s="51"/>
    </row>
    <row r="19" spans="1:58" customFormat="1" hidden="1" x14ac:dyDescent="0.25">
      <c r="A19" s="59">
        <f>'Identitas Siswa'!A18</f>
        <v>11</v>
      </c>
      <c r="B19" s="65" t="str">
        <f>IF('Identitas Siswa'!D18=0,"",'Identitas Siswa'!D18)</f>
        <v/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60">
        <f t="shared" si="3"/>
        <v>0</v>
      </c>
      <c r="AL19" s="60">
        <f t="shared" si="4"/>
        <v>0</v>
      </c>
      <c r="AM19" s="60">
        <f t="shared" si="5"/>
        <v>0</v>
      </c>
      <c r="AN19" s="60" t="str">
        <f t="shared" si="6"/>
        <v/>
      </c>
      <c r="AO19" s="59">
        <f t="shared" si="7"/>
        <v>0</v>
      </c>
      <c r="AP19" s="59" t="str">
        <f t="shared" si="8"/>
        <v/>
      </c>
      <c r="AQ19" s="59">
        <f t="shared" si="9"/>
        <v>0</v>
      </c>
      <c r="AR19" s="59" t="str">
        <f t="shared" si="10"/>
        <v/>
      </c>
      <c r="AS19" s="61" t="str">
        <f>IFERROR(
   'Identitas Siswa'!E18 &amp; " " &amp; LOWER($AT$3) &amp; " " &amp; VLOOKUP(AP19, TP!$BO$5:$BP$24, 2, 0) &amp; ".",
"")</f>
        <v/>
      </c>
      <c r="AT19" s="61" t="str">
        <f>IFERROR(
   'Identitas Siswa'!E18 &amp; " " &amp; LOWER($AT$4) &amp; " " &amp; VLOOKUP(AR19, TP!$BO$5:$BP$24,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7"/>
      <c r="BA19" s="29">
        <f t="shared" si="2"/>
        <v>0</v>
      </c>
      <c r="BE19" s="51"/>
      <c r="BF19" s="51"/>
    </row>
    <row r="20" spans="1:58" customFormat="1" hidden="1" x14ac:dyDescent="0.25">
      <c r="A20" s="59">
        <f>'Identitas Siswa'!A19</f>
        <v>12</v>
      </c>
      <c r="B20" s="65" t="str">
        <f>IF('Identitas Siswa'!D19=0,"",'Identitas Siswa'!D19)</f>
        <v/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60">
        <f t="shared" si="3"/>
        <v>0</v>
      </c>
      <c r="AL20" s="60">
        <f t="shared" si="4"/>
        <v>0</v>
      </c>
      <c r="AM20" s="60">
        <f t="shared" si="5"/>
        <v>0</v>
      </c>
      <c r="AN20" s="60" t="str">
        <f t="shared" si="6"/>
        <v/>
      </c>
      <c r="AO20" s="59">
        <f t="shared" si="7"/>
        <v>0</v>
      </c>
      <c r="AP20" s="59" t="str">
        <f t="shared" si="8"/>
        <v/>
      </c>
      <c r="AQ20" s="59">
        <f t="shared" si="9"/>
        <v>0</v>
      </c>
      <c r="AR20" s="59" t="str">
        <f t="shared" si="10"/>
        <v/>
      </c>
      <c r="AS20" s="61" t="str">
        <f>IFERROR(
   'Identitas Siswa'!E19 &amp; " " &amp; LOWER($AT$3) &amp; " " &amp; VLOOKUP(AP20, TP!$BO$5:$BP$24, 2, 0) &amp; ".",
"")</f>
        <v/>
      </c>
      <c r="AT20" s="61" t="str">
        <f>IFERROR(
   'Identitas Siswa'!E19 &amp; " " &amp; LOWER($AT$4) &amp; " " &amp; VLOOKUP(AR20, TP!$BO$5:$BP$24,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7"/>
      <c r="BA20" s="29">
        <f t="shared" si="2"/>
        <v>0</v>
      </c>
      <c r="BE20" s="51"/>
      <c r="BF20" s="51"/>
    </row>
    <row r="21" spans="1:58" customFormat="1" hidden="1" x14ac:dyDescent="0.25">
      <c r="A21" s="59">
        <f>'Identitas Siswa'!A20</f>
        <v>13</v>
      </c>
      <c r="B21" s="65" t="str">
        <f>IF('Identitas Siswa'!D20=0,"",'Identitas Siswa'!D20)</f>
        <v/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60">
        <f t="shared" si="3"/>
        <v>0</v>
      </c>
      <c r="AL21" s="60">
        <f t="shared" si="4"/>
        <v>0</v>
      </c>
      <c r="AM21" s="60">
        <f t="shared" si="5"/>
        <v>0</v>
      </c>
      <c r="AN21" s="60" t="str">
        <f t="shared" si="6"/>
        <v/>
      </c>
      <c r="AO21" s="59">
        <f t="shared" si="7"/>
        <v>0</v>
      </c>
      <c r="AP21" s="59" t="str">
        <f t="shared" si="8"/>
        <v/>
      </c>
      <c r="AQ21" s="59">
        <f t="shared" si="9"/>
        <v>0</v>
      </c>
      <c r="AR21" s="59" t="str">
        <f t="shared" si="10"/>
        <v/>
      </c>
      <c r="AS21" s="61" t="str">
        <f>IFERROR(
   'Identitas Siswa'!E20 &amp; " " &amp; LOWER($AT$3) &amp; " " &amp; VLOOKUP(AP21, TP!$BO$5:$BP$24, 2, 0) &amp; ".",
"")</f>
        <v/>
      </c>
      <c r="AT21" s="61" t="str">
        <f>IFERROR(
   'Identitas Siswa'!E20 &amp; " " &amp; LOWER($AT$4) &amp; " " &amp; VLOOKUP(AR21, TP!$BO$5:$BP$24,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7"/>
      <c r="BA21" s="29">
        <f t="shared" si="2"/>
        <v>0</v>
      </c>
      <c r="BE21" s="51"/>
      <c r="BF21" s="51"/>
    </row>
    <row r="22" spans="1:58" customFormat="1" hidden="1" x14ac:dyDescent="0.25">
      <c r="A22" s="59">
        <f>'Identitas Siswa'!A21</f>
        <v>14</v>
      </c>
      <c r="B22" s="65" t="str">
        <f>IF('Identitas Siswa'!D21=0,"",'Identitas Siswa'!D21)</f>
        <v/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60">
        <f t="shared" si="3"/>
        <v>0</v>
      </c>
      <c r="AL22" s="60">
        <f t="shared" si="4"/>
        <v>0</v>
      </c>
      <c r="AM22" s="60">
        <f t="shared" si="5"/>
        <v>0</v>
      </c>
      <c r="AN22" s="60" t="str">
        <f t="shared" si="6"/>
        <v/>
      </c>
      <c r="AO22" s="59">
        <f t="shared" si="7"/>
        <v>0</v>
      </c>
      <c r="AP22" s="59" t="str">
        <f t="shared" si="8"/>
        <v/>
      </c>
      <c r="AQ22" s="59">
        <f t="shared" si="9"/>
        <v>0</v>
      </c>
      <c r="AR22" s="59" t="str">
        <f t="shared" si="10"/>
        <v/>
      </c>
      <c r="AS22" s="61" t="str">
        <f>IFERROR(
   'Identitas Siswa'!E21 &amp; " " &amp; LOWER($AT$3) &amp; " " &amp; VLOOKUP(AP22, TP!$BO$5:$BP$24, 2, 0) &amp; ".",
"")</f>
        <v/>
      </c>
      <c r="AT22" s="61" t="str">
        <f>IFERROR(
   'Identitas Siswa'!E21 &amp; " " &amp; LOWER($AT$4) &amp; " " &amp; VLOOKUP(AR22, TP!$BO$5:$BP$24,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7"/>
      <c r="BA22" s="29">
        <f t="shared" si="2"/>
        <v>0</v>
      </c>
      <c r="BE22" s="51"/>
      <c r="BF22" s="51"/>
    </row>
    <row r="23" spans="1:58" customFormat="1" hidden="1" x14ac:dyDescent="0.25">
      <c r="A23" s="59">
        <f>'Identitas Siswa'!A22</f>
        <v>15</v>
      </c>
      <c r="B23" s="65" t="str">
        <f>IF('Identitas Siswa'!D22=0,"",'Identitas Siswa'!D22)</f>
        <v/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60">
        <f t="shared" si="3"/>
        <v>0</v>
      </c>
      <c r="AL23" s="60">
        <f t="shared" si="4"/>
        <v>0</v>
      </c>
      <c r="AM23" s="60">
        <f t="shared" si="5"/>
        <v>0</v>
      </c>
      <c r="AN23" s="60" t="str">
        <f t="shared" si="6"/>
        <v/>
      </c>
      <c r="AO23" s="59">
        <f t="shared" si="7"/>
        <v>0</v>
      </c>
      <c r="AP23" s="59" t="str">
        <f t="shared" si="8"/>
        <v/>
      </c>
      <c r="AQ23" s="59">
        <f t="shared" si="9"/>
        <v>0</v>
      </c>
      <c r="AR23" s="59" t="str">
        <f t="shared" si="10"/>
        <v/>
      </c>
      <c r="AS23" s="61" t="str">
        <f>IFERROR(
   'Identitas Siswa'!E22 &amp; " " &amp; LOWER($AT$3) &amp; " " &amp; VLOOKUP(AP23, TP!$BO$5:$BP$24, 2, 0) &amp; ".",
"")</f>
        <v/>
      </c>
      <c r="AT23" s="61" t="str">
        <f>IFERROR(
   'Identitas Siswa'!E22 &amp; " " &amp; LOWER($AT$4) &amp; " " &amp; VLOOKUP(AR23, TP!$BO$5:$BP$24,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7"/>
      <c r="BA23" s="29">
        <f t="shared" si="2"/>
        <v>0</v>
      </c>
      <c r="BE23" s="51"/>
      <c r="BF23" s="51"/>
    </row>
    <row r="24" spans="1:58" customFormat="1" hidden="1" x14ac:dyDescent="0.25">
      <c r="A24" s="59">
        <f>'Identitas Siswa'!A23</f>
        <v>16</v>
      </c>
      <c r="B24" s="65" t="str">
        <f>IF('Identitas Siswa'!D23=0,"",'Identitas Siswa'!D23)</f>
        <v/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60">
        <f t="shared" si="3"/>
        <v>0</v>
      </c>
      <c r="AL24" s="60">
        <f t="shared" si="4"/>
        <v>0</v>
      </c>
      <c r="AM24" s="60">
        <f t="shared" si="5"/>
        <v>0</v>
      </c>
      <c r="AN24" s="60" t="str">
        <f t="shared" si="6"/>
        <v/>
      </c>
      <c r="AO24" s="59">
        <f t="shared" si="7"/>
        <v>0</v>
      </c>
      <c r="AP24" s="59" t="str">
        <f t="shared" si="8"/>
        <v/>
      </c>
      <c r="AQ24" s="59">
        <f t="shared" si="9"/>
        <v>0</v>
      </c>
      <c r="AR24" s="59" t="str">
        <f t="shared" si="10"/>
        <v/>
      </c>
      <c r="AS24" s="61" t="str">
        <f>IFERROR(
   'Identitas Siswa'!E23 &amp; " " &amp; LOWER($AT$3) &amp; " " &amp; VLOOKUP(AP24, TP!$BO$5:$BP$24, 2, 0) &amp; ".",
"")</f>
        <v/>
      </c>
      <c r="AT24" s="61" t="str">
        <f>IFERROR(
   'Identitas Siswa'!E23 &amp; " " &amp; LOWER($AT$4) &amp; " " &amp; VLOOKUP(AR24, TP!$BO$5:$BP$24,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7"/>
      <c r="BA24" s="29">
        <f t="shared" si="2"/>
        <v>0</v>
      </c>
      <c r="BE24" s="51"/>
      <c r="BF24" s="51"/>
    </row>
    <row r="25" spans="1:58" customFormat="1" hidden="1" x14ac:dyDescent="0.25">
      <c r="A25" s="59">
        <f>'Identitas Siswa'!A24</f>
        <v>17</v>
      </c>
      <c r="B25" s="65" t="str">
        <f>IF('Identitas Siswa'!D24=0,"",'Identitas Siswa'!D24)</f>
        <v/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60">
        <f t="shared" si="3"/>
        <v>0</v>
      </c>
      <c r="AL25" s="60">
        <f t="shared" si="4"/>
        <v>0</v>
      </c>
      <c r="AM25" s="60">
        <f t="shared" si="5"/>
        <v>0</v>
      </c>
      <c r="AN25" s="60" t="str">
        <f t="shared" si="6"/>
        <v/>
      </c>
      <c r="AO25" s="59">
        <f t="shared" si="7"/>
        <v>0</v>
      </c>
      <c r="AP25" s="59" t="str">
        <f t="shared" si="8"/>
        <v/>
      </c>
      <c r="AQ25" s="59">
        <f t="shared" si="9"/>
        <v>0</v>
      </c>
      <c r="AR25" s="59" t="str">
        <f t="shared" si="10"/>
        <v/>
      </c>
      <c r="AS25" s="61" t="str">
        <f>IFERROR(
   'Identitas Siswa'!E24 &amp; " " &amp; LOWER($AT$3) &amp; " " &amp; VLOOKUP(AP25, TP!$BO$5:$BP$24, 2, 0) &amp; ".",
"")</f>
        <v/>
      </c>
      <c r="AT25" s="61" t="str">
        <f>IFERROR(
   'Identitas Siswa'!E24 &amp; " " &amp; LOWER($AT$4) &amp; " " &amp; VLOOKUP(AR25, TP!$BO$5:$BP$24,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7"/>
      <c r="BA25" s="29">
        <f t="shared" si="2"/>
        <v>0</v>
      </c>
      <c r="BE25" s="51"/>
      <c r="BF25" s="51"/>
    </row>
    <row r="26" spans="1:58" customFormat="1" hidden="1" x14ac:dyDescent="0.25">
      <c r="A26" s="59">
        <f>'Identitas Siswa'!A25</f>
        <v>18</v>
      </c>
      <c r="B26" s="65" t="str">
        <f>IF('Identitas Siswa'!D25=0,"",'Identitas Siswa'!D25)</f>
        <v/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60">
        <f t="shared" si="3"/>
        <v>0</v>
      </c>
      <c r="AL26" s="60">
        <f t="shared" si="4"/>
        <v>0</v>
      </c>
      <c r="AM26" s="60">
        <f t="shared" si="5"/>
        <v>0</v>
      </c>
      <c r="AN26" s="60" t="str">
        <f t="shared" si="6"/>
        <v/>
      </c>
      <c r="AO26" s="59">
        <f t="shared" si="7"/>
        <v>0</v>
      </c>
      <c r="AP26" s="59" t="str">
        <f t="shared" si="8"/>
        <v/>
      </c>
      <c r="AQ26" s="59">
        <f t="shared" si="9"/>
        <v>0</v>
      </c>
      <c r="AR26" s="59" t="str">
        <f t="shared" si="10"/>
        <v/>
      </c>
      <c r="AS26" s="61" t="str">
        <f>IFERROR(
   'Identitas Siswa'!E25 &amp; " " &amp; LOWER($AT$3) &amp; " " &amp; VLOOKUP(AP26, TP!$BO$5:$BP$24, 2, 0) &amp; ".",
"")</f>
        <v/>
      </c>
      <c r="AT26" s="61" t="str">
        <f>IFERROR(
   'Identitas Siswa'!E25 &amp; " " &amp; LOWER($AT$4) &amp; " " &amp; VLOOKUP(AR26, TP!$BO$5:$BP$24,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7"/>
      <c r="BA26" s="29">
        <f t="shared" si="2"/>
        <v>0</v>
      </c>
      <c r="BE26" s="51"/>
      <c r="BF26" s="51"/>
    </row>
    <row r="27" spans="1:58" customFormat="1" hidden="1" x14ac:dyDescent="0.25">
      <c r="A27" s="59">
        <f>'Identitas Siswa'!A26</f>
        <v>19</v>
      </c>
      <c r="B27" s="65" t="str">
        <f>IF('Identitas Siswa'!D26=0,"",'Identitas Siswa'!D26)</f>
        <v/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60">
        <f t="shared" si="3"/>
        <v>0</v>
      </c>
      <c r="AL27" s="60">
        <f t="shared" si="4"/>
        <v>0</v>
      </c>
      <c r="AM27" s="60">
        <f t="shared" si="5"/>
        <v>0</v>
      </c>
      <c r="AN27" s="60" t="str">
        <f t="shared" si="6"/>
        <v/>
      </c>
      <c r="AO27" s="59">
        <f t="shared" si="7"/>
        <v>0</v>
      </c>
      <c r="AP27" s="59" t="str">
        <f t="shared" si="8"/>
        <v/>
      </c>
      <c r="AQ27" s="59">
        <f t="shared" si="9"/>
        <v>0</v>
      </c>
      <c r="AR27" s="59" t="str">
        <f t="shared" si="10"/>
        <v/>
      </c>
      <c r="AS27" s="61" t="str">
        <f>IFERROR(
   'Identitas Siswa'!E26 &amp; " " &amp; LOWER($AT$3) &amp; " " &amp; VLOOKUP(AP27, TP!$BO$5:$BP$24, 2, 0) &amp; ".",
"")</f>
        <v/>
      </c>
      <c r="AT27" s="61" t="str">
        <f>IFERROR(
   'Identitas Siswa'!E26 &amp; " " &amp; LOWER($AT$4) &amp; " " &amp; VLOOKUP(AR27, TP!$BO$5:$BP$24,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7"/>
      <c r="BA27" s="29">
        <f t="shared" si="2"/>
        <v>0</v>
      </c>
      <c r="BE27" s="51"/>
      <c r="BF27" s="51"/>
    </row>
    <row r="28" spans="1:58" customFormat="1" hidden="1" x14ac:dyDescent="0.25">
      <c r="A28" s="59">
        <f>'Identitas Siswa'!A27</f>
        <v>20</v>
      </c>
      <c r="B28" s="65" t="str">
        <f>IF('Identitas Siswa'!D27=0,"",'Identitas Siswa'!D27)</f>
        <v/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60">
        <f t="shared" si="3"/>
        <v>0</v>
      </c>
      <c r="AL28" s="60">
        <f t="shared" si="4"/>
        <v>0</v>
      </c>
      <c r="AM28" s="60">
        <f t="shared" si="5"/>
        <v>0</v>
      </c>
      <c r="AN28" s="60" t="str">
        <f t="shared" si="6"/>
        <v/>
      </c>
      <c r="AO28" s="59">
        <f t="shared" si="7"/>
        <v>0</v>
      </c>
      <c r="AP28" s="59" t="str">
        <f t="shared" si="8"/>
        <v/>
      </c>
      <c r="AQ28" s="59">
        <f t="shared" si="9"/>
        <v>0</v>
      </c>
      <c r="AR28" s="59" t="str">
        <f t="shared" si="10"/>
        <v/>
      </c>
      <c r="AS28" s="61" t="str">
        <f>IFERROR(
   'Identitas Siswa'!E27 &amp; " " &amp; LOWER($AT$3) &amp; " " &amp; VLOOKUP(AP28, TP!$BO$5:$BP$24, 2, 0) &amp; ".",
"")</f>
        <v/>
      </c>
      <c r="AT28" s="61" t="str">
        <f>IFERROR(
   'Identitas Siswa'!E27 &amp; " " &amp; LOWER($AT$4) &amp; " " &amp; VLOOKUP(AR28, TP!$BO$5:$BP$24,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7"/>
      <c r="BA28" s="29">
        <f t="shared" si="2"/>
        <v>0</v>
      </c>
      <c r="BE28" s="51"/>
      <c r="BF28" s="51"/>
    </row>
    <row r="29" spans="1:58" customFormat="1" hidden="1" x14ac:dyDescent="0.25">
      <c r="A29" s="59">
        <f>'Identitas Siswa'!A28</f>
        <v>21</v>
      </c>
      <c r="B29" s="65" t="str">
        <f>IF('Identitas Siswa'!D28=0,"",'Identitas Siswa'!D28)</f>
        <v/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60">
        <f t="shared" si="3"/>
        <v>0</v>
      </c>
      <c r="AL29" s="60">
        <f t="shared" si="4"/>
        <v>0</v>
      </c>
      <c r="AM29" s="60">
        <f t="shared" si="5"/>
        <v>0</v>
      </c>
      <c r="AN29" s="60" t="str">
        <f t="shared" si="6"/>
        <v/>
      </c>
      <c r="AO29" s="59">
        <f t="shared" si="7"/>
        <v>0</v>
      </c>
      <c r="AP29" s="59" t="str">
        <f t="shared" si="8"/>
        <v/>
      </c>
      <c r="AQ29" s="59">
        <f t="shared" si="9"/>
        <v>0</v>
      </c>
      <c r="AR29" s="59" t="str">
        <f t="shared" si="10"/>
        <v/>
      </c>
      <c r="AS29" s="61" t="str">
        <f>IFERROR(
   'Identitas Siswa'!E28 &amp; " " &amp; LOWER($AT$3) &amp; " " &amp; VLOOKUP(AP29, TP!$BO$5:$BP$24, 2, 0) &amp; ".",
"")</f>
        <v/>
      </c>
      <c r="AT29" s="61" t="str">
        <f>IFERROR(
   'Identitas Siswa'!E28 &amp; " " &amp; LOWER($AT$4) &amp; " " &amp; VLOOKUP(AR29, TP!$BO$5:$BP$24,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7"/>
      <c r="BA29" s="29">
        <f t="shared" si="2"/>
        <v>0</v>
      </c>
      <c r="BE29" s="51"/>
      <c r="BF29" s="51"/>
    </row>
    <row r="30" spans="1:58" customFormat="1" hidden="1" x14ac:dyDescent="0.25">
      <c r="A30" s="59">
        <f>'Identitas Siswa'!A29</f>
        <v>22</v>
      </c>
      <c r="B30" s="65" t="str">
        <f>IF('Identitas Siswa'!D29=0,"",'Identitas Siswa'!D29)</f>
        <v/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60">
        <f t="shared" si="3"/>
        <v>0</v>
      </c>
      <c r="AL30" s="60">
        <f t="shared" si="4"/>
        <v>0</v>
      </c>
      <c r="AM30" s="60">
        <f t="shared" si="5"/>
        <v>0</v>
      </c>
      <c r="AN30" s="60" t="str">
        <f t="shared" si="6"/>
        <v/>
      </c>
      <c r="AO30" s="59">
        <f t="shared" si="7"/>
        <v>0</v>
      </c>
      <c r="AP30" s="59" t="str">
        <f t="shared" si="8"/>
        <v/>
      </c>
      <c r="AQ30" s="59">
        <f t="shared" si="9"/>
        <v>0</v>
      </c>
      <c r="AR30" s="59" t="str">
        <f t="shared" si="10"/>
        <v/>
      </c>
      <c r="AS30" s="61" t="str">
        <f>IFERROR(
   'Identitas Siswa'!E29 &amp; " " &amp; LOWER($AT$3) &amp; " " &amp; VLOOKUP(AP30, TP!$BO$5:$BP$24, 2, 0) &amp; ".",
"")</f>
        <v/>
      </c>
      <c r="AT30" s="61" t="str">
        <f>IFERROR(
   'Identitas Siswa'!E29 &amp; " " &amp; LOWER($AT$4) &amp; " " &amp; VLOOKUP(AR30, TP!$BO$5:$BP$24,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7"/>
      <c r="BA30" s="29">
        <f t="shared" si="2"/>
        <v>0</v>
      </c>
      <c r="BE30" s="51"/>
      <c r="BF30" s="51"/>
    </row>
    <row r="31" spans="1:58" customFormat="1" hidden="1" x14ac:dyDescent="0.25">
      <c r="A31" s="59">
        <f>'Identitas Siswa'!A30</f>
        <v>23</v>
      </c>
      <c r="B31" s="65" t="str">
        <f>IF('Identitas Siswa'!D30=0,"",'Identitas Siswa'!D30)</f>
        <v/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  <c r="AH31" s="165"/>
      <c r="AI31" s="165"/>
      <c r="AJ31" s="165"/>
      <c r="AK31" s="60">
        <f t="shared" si="3"/>
        <v>0</v>
      </c>
      <c r="AL31" s="60">
        <f t="shared" si="4"/>
        <v>0</v>
      </c>
      <c r="AM31" s="60">
        <f t="shared" si="5"/>
        <v>0</v>
      </c>
      <c r="AN31" s="60" t="str">
        <f t="shared" si="6"/>
        <v/>
      </c>
      <c r="AO31" s="59">
        <f t="shared" si="7"/>
        <v>0</v>
      </c>
      <c r="AP31" s="59" t="str">
        <f t="shared" si="8"/>
        <v/>
      </c>
      <c r="AQ31" s="59">
        <f t="shared" si="9"/>
        <v>0</v>
      </c>
      <c r="AR31" s="59" t="str">
        <f t="shared" si="10"/>
        <v/>
      </c>
      <c r="AS31" s="61" t="str">
        <f>IFERROR(
   'Identitas Siswa'!E30 &amp; " " &amp; LOWER($AT$3) &amp; " " &amp; VLOOKUP(AP31, TP!$BO$5:$BP$24, 2, 0) &amp; ".",
"")</f>
        <v/>
      </c>
      <c r="AT31" s="61" t="str">
        <f>IFERROR(
   'Identitas Siswa'!E30 &amp; " " &amp; LOWER($AT$4) &amp; " " &amp; VLOOKUP(AR31, TP!$BO$5:$BP$24,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7"/>
      <c r="BA31" s="29">
        <f t="shared" si="2"/>
        <v>0</v>
      </c>
      <c r="BE31" s="51"/>
      <c r="BF31" s="51"/>
    </row>
    <row r="32" spans="1:58" customFormat="1" hidden="1" x14ac:dyDescent="0.25">
      <c r="A32" s="59">
        <f>'Identitas Siswa'!A31</f>
        <v>24</v>
      </c>
      <c r="B32" s="65" t="str">
        <f>IF('Identitas Siswa'!D31=0,"",'Identitas Siswa'!D31)</f>
        <v/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  <c r="AH32" s="165"/>
      <c r="AI32" s="165"/>
      <c r="AJ32" s="165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 t="str">
        <f t="shared" si="6"/>
        <v/>
      </c>
      <c r="AO32" s="59">
        <f t="shared" si="7"/>
        <v>0</v>
      </c>
      <c r="AP32" s="59" t="str">
        <f t="shared" si="8"/>
        <v/>
      </c>
      <c r="AQ32" s="59">
        <f t="shared" si="9"/>
        <v>0</v>
      </c>
      <c r="AR32" s="59" t="str">
        <f t="shared" si="10"/>
        <v/>
      </c>
      <c r="AS32" s="61" t="str">
        <f>IFERROR(
   'Identitas Siswa'!E31 &amp; " " &amp; LOWER($AT$3) &amp; " " &amp; VLOOKUP(AP32, TP!$BO$5:$BP$24, 2, 0) &amp; ".",
"")</f>
        <v/>
      </c>
      <c r="AT32" s="61" t="str">
        <f>IFERROR(
   'Identitas Siswa'!E31 &amp; " " &amp; LOWER($AT$4) &amp; " " &amp; VLOOKUP(AR32, TP!$BO$5:$BP$24,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7"/>
      <c r="BA32" s="29">
        <f t="shared" si="2"/>
        <v>0</v>
      </c>
      <c r="BE32" s="51"/>
      <c r="BF32" s="51"/>
    </row>
    <row r="33" spans="1:58" customFormat="1" hidden="1" x14ac:dyDescent="0.25">
      <c r="A33" s="59">
        <f>'Identitas Siswa'!A32</f>
        <v>25</v>
      </c>
      <c r="B33" s="65" t="str">
        <f>IF('Identitas Siswa'!D32=0,"",'Identitas Siswa'!D32)</f>
        <v/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 t="str">
        <f t="shared" si="6"/>
        <v/>
      </c>
      <c r="AO33" s="59">
        <f t="shared" si="7"/>
        <v>0</v>
      </c>
      <c r="AP33" s="59" t="str">
        <f t="shared" si="8"/>
        <v/>
      </c>
      <c r="AQ33" s="59">
        <f t="shared" si="9"/>
        <v>0</v>
      </c>
      <c r="AR33" s="59" t="str">
        <f t="shared" si="10"/>
        <v/>
      </c>
      <c r="AS33" s="61" t="str">
        <f>IFERROR(
   'Identitas Siswa'!E32 &amp; " " &amp; LOWER($AT$3) &amp; " " &amp; VLOOKUP(AP33, TP!$BO$5:$BP$24, 2, 0) &amp; ".",
"")</f>
        <v/>
      </c>
      <c r="AT33" s="61" t="str">
        <f>IFERROR(
   'Identitas Siswa'!E32 &amp; " " &amp; LOWER($AT$4) &amp; " " &amp; VLOOKUP(AR33, TP!$BO$5:$BP$24,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7"/>
      <c r="BA33" s="29">
        <f t="shared" si="2"/>
        <v>0</v>
      </c>
      <c r="BE33" s="51"/>
      <c r="BF33" s="51"/>
    </row>
    <row r="34" spans="1:58" customFormat="1" hidden="1" x14ac:dyDescent="0.25">
      <c r="A34" s="59">
        <f>'Identitas Siswa'!A33</f>
        <v>26</v>
      </c>
      <c r="B34" s="65" t="str">
        <f>IF('Identitas Siswa'!D33=0,"",'Identitas Siswa'!D33)</f>
        <v/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 t="str">
        <f t="shared" si="6"/>
        <v/>
      </c>
      <c r="AO34" s="59">
        <f t="shared" si="7"/>
        <v>0</v>
      </c>
      <c r="AP34" s="59" t="str">
        <f t="shared" si="8"/>
        <v/>
      </c>
      <c r="AQ34" s="59">
        <f t="shared" si="9"/>
        <v>0</v>
      </c>
      <c r="AR34" s="59" t="str">
        <f t="shared" si="10"/>
        <v/>
      </c>
      <c r="AS34" s="61" t="str">
        <f>IFERROR(
   'Identitas Siswa'!E33 &amp; " " &amp; LOWER($AT$3) &amp; " " &amp; VLOOKUP(AP34, TP!$BO$5:$BP$24, 2, 0) &amp; ".",
"")</f>
        <v/>
      </c>
      <c r="AT34" s="61" t="str">
        <f>IFERROR(
   'Identitas Siswa'!E33 &amp; " " &amp; LOWER($AT$4) &amp; " " &amp; VLOOKUP(AR34, TP!$BO$5:$BP$24,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7"/>
      <c r="BA34" s="29">
        <f t="shared" si="2"/>
        <v>0</v>
      </c>
      <c r="BE34" s="51"/>
      <c r="BF34" s="51"/>
    </row>
    <row r="35" spans="1:58" customFormat="1" hidden="1" x14ac:dyDescent="0.25">
      <c r="A35" s="59">
        <f>'Identitas Siswa'!A34</f>
        <v>27</v>
      </c>
      <c r="B35" s="65" t="str">
        <f>IF('Identitas Siswa'!D34=0,"",'Identitas Siswa'!D34)</f>
        <v/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  <c r="AH35" s="165"/>
      <c r="AI35" s="165"/>
      <c r="AJ35" s="165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 t="str">
        <f t="shared" si="6"/>
        <v/>
      </c>
      <c r="AO35" s="59">
        <f t="shared" si="7"/>
        <v>0</v>
      </c>
      <c r="AP35" s="59" t="str">
        <f t="shared" si="8"/>
        <v/>
      </c>
      <c r="AQ35" s="59">
        <f t="shared" si="9"/>
        <v>0</v>
      </c>
      <c r="AR35" s="59" t="str">
        <f t="shared" si="10"/>
        <v/>
      </c>
      <c r="AS35" s="61" t="str">
        <f>IFERROR(
   'Identitas Siswa'!E34 &amp; " " &amp; LOWER($AT$3) &amp; " " &amp; VLOOKUP(AP35, TP!$BO$5:$BP$24, 2, 0) &amp; ".",
"")</f>
        <v/>
      </c>
      <c r="AT35" s="61" t="str">
        <f>IFERROR(
   'Identitas Siswa'!E34 &amp; " " &amp; LOWER($AT$4) &amp; " " &amp; VLOOKUP(AR35, TP!$BO$5:$BP$24,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7"/>
      <c r="BA35" s="29">
        <f t="shared" si="2"/>
        <v>0</v>
      </c>
      <c r="BE35" s="51"/>
      <c r="BF35" s="51"/>
    </row>
    <row r="36" spans="1:58" customFormat="1" hidden="1" x14ac:dyDescent="0.25">
      <c r="A36" s="59">
        <f>'Identitas Siswa'!A35</f>
        <v>28</v>
      </c>
      <c r="B36" s="65" t="str">
        <f>IF('Identitas Siswa'!D35=0,"",'Identitas Siswa'!D35)</f>
        <v/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 t="str">
        <f t="shared" si="6"/>
        <v/>
      </c>
      <c r="AO36" s="59">
        <f t="shared" si="7"/>
        <v>0</v>
      </c>
      <c r="AP36" s="59" t="str">
        <f t="shared" si="8"/>
        <v/>
      </c>
      <c r="AQ36" s="59">
        <f t="shared" si="9"/>
        <v>0</v>
      </c>
      <c r="AR36" s="59" t="str">
        <f t="shared" si="10"/>
        <v/>
      </c>
      <c r="AS36" s="61" t="str">
        <f>IFERROR(
   'Identitas Siswa'!E35 &amp; " " &amp; LOWER($AT$3) &amp; " " &amp; VLOOKUP(AP36, TP!$BO$5:$BP$24, 2, 0) &amp; ".",
"")</f>
        <v/>
      </c>
      <c r="AT36" s="61" t="str">
        <f>IFERROR(
   'Identitas Siswa'!E35 &amp; " " &amp; LOWER($AT$4) &amp; " " &amp; VLOOKUP(AR36, TP!$BO$5:$BP$24,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7"/>
      <c r="BA36" s="29">
        <f t="shared" si="2"/>
        <v>0</v>
      </c>
      <c r="BE36" s="51"/>
      <c r="BF36" s="51"/>
    </row>
    <row r="37" spans="1:58" customFormat="1" hidden="1" x14ac:dyDescent="0.25">
      <c r="A37" s="59">
        <f>'Identitas Siswa'!A36</f>
        <v>29</v>
      </c>
      <c r="B37" s="65" t="str">
        <f>IF('Identitas Siswa'!D36=0,"",'Identitas Siswa'!D36)</f>
        <v/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 t="str">
        <f t="shared" si="6"/>
        <v/>
      </c>
      <c r="AO37" s="59">
        <f t="shared" si="7"/>
        <v>0</v>
      </c>
      <c r="AP37" s="59" t="str">
        <f t="shared" si="8"/>
        <v/>
      </c>
      <c r="AQ37" s="59">
        <f t="shared" si="9"/>
        <v>0</v>
      </c>
      <c r="AR37" s="59" t="str">
        <f t="shared" si="10"/>
        <v/>
      </c>
      <c r="AS37" s="61" t="str">
        <f>IFERROR(
   'Identitas Siswa'!E36 &amp; " " &amp; LOWER($AT$3) &amp; " " &amp; VLOOKUP(AP37, TP!$BO$5:$BP$24, 2, 0) &amp; ".",
"")</f>
        <v/>
      </c>
      <c r="AT37" s="61" t="str">
        <f>IFERROR(
   'Identitas Siswa'!E36 &amp; " " &amp; LOWER($AT$4) &amp; " " &amp; VLOOKUP(AR37, TP!$BO$5:$BP$24,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7"/>
      <c r="BA37" s="29">
        <f t="shared" si="2"/>
        <v>0</v>
      </c>
      <c r="BE37" s="51"/>
      <c r="BF37" s="51"/>
    </row>
    <row r="38" spans="1:58" customFormat="1" hidden="1" x14ac:dyDescent="0.25">
      <c r="A38" s="59">
        <f>'Identitas Siswa'!A37</f>
        <v>30</v>
      </c>
      <c r="B38" s="65" t="str">
        <f>IF('Identitas Siswa'!D37=0,"",'Identitas Siswa'!D37)</f>
        <v/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 t="str">
        <f t="shared" si="6"/>
        <v/>
      </c>
      <c r="AO38" s="59">
        <f t="shared" si="7"/>
        <v>0</v>
      </c>
      <c r="AP38" s="59" t="str">
        <f t="shared" si="8"/>
        <v/>
      </c>
      <c r="AQ38" s="59">
        <f t="shared" si="9"/>
        <v>0</v>
      </c>
      <c r="AR38" s="59" t="str">
        <f t="shared" si="10"/>
        <v/>
      </c>
      <c r="AS38" s="61" t="str">
        <f>IFERROR(
   'Identitas Siswa'!E37 &amp; " " &amp; LOWER($AT$3) &amp; " " &amp; VLOOKUP(AP38, TP!$BO$5:$BP$24, 2, 0) &amp; ".",
"")</f>
        <v/>
      </c>
      <c r="AT38" s="61" t="str">
        <f>IFERROR(
   'Identitas Siswa'!E37 &amp; " " &amp; LOWER($AT$4) &amp; " " &amp; VLOOKUP(AR38, TP!$BO$5:$BP$24,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7"/>
      <c r="BA38" s="29">
        <f t="shared" si="2"/>
        <v>0</v>
      </c>
      <c r="BE38" s="51"/>
      <c r="BF38" s="51"/>
    </row>
    <row r="39" spans="1:58" customFormat="1" hidden="1" x14ac:dyDescent="0.25">
      <c r="A39" s="59">
        <f>'Identitas Siswa'!A38</f>
        <v>31</v>
      </c>
      <c r="B39" s="65" t="str">
        <f>IF('Identitas Siswa'!D38=0,"",'Identitas Siswa'!D38)</f>
        <v/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 t="str">
        <f t="shared" si="6"/>
        <v/>
      </c>
      <c r="AO39" s="59">
        <f t="shared" si="7"/>
        <v>0</v>
      </c>
      <c r="AP39" s="59" t="str">
        <f t="shared" si="8"/>
        <v/>
      </c>
      <c r="AQ39" s="59">
        <f t="shared" si="9"/>
        <v>0</v>
      </c>
      <c r="AR39" s="59" t="str">
        <f t="shared" si="10"/>
        <v/>
      </c>
      <c r="AS39" s="61" t="str">
        <f>IFERROR(
   'Identitas Siswa'!E38 &amp; " " &amp; LOWER($AT$3) &amp; " " &amp; VLOOKUP(AP39, TP!$BO$5:$BP$24, 2, 0) &amp; ".",
"")</f>
        <v/>
      </c>
      <c r="AT39" s="61" t="str">
        <f>IFERROR(
   'Identitas Siswa'!E38 &amp; " " &amp; LOWER($AT$4) &amp; " " &amp; VLOOKUP(AR39, TP!$BO$5:$BP$24,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7"/>
      <c r="BA39" s="29">
        <f t="shared" si="2"/>
        <v>0</v>
      </c>
      <c r="BE39" s="51"/>
      <c r="BF39" s="51"/>
    </row>
    <row r="40" spans="1:58" customFormat="1" hidden="1" x14ac:dyDescent="0.25">
      <c r="A40" s="59">
        <f>'Identitas Siswa'!A39</f>
        <v>32</v>
      </c>
      <c r="B40" s="65" t="str">
        <f>IF('Identitas Siswa'!D39=0,"",'Identitas Siswa'!D39)</f>
        <v/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 t="str">
        <f t="shared" si="6"/>
        <v/>
      </c>
      <c r="AO40" s="59">
        <f t="shared" si="7"/>
        <v>0</v>
      </c>
      <c r="AP40" s="59" t="str">
        <f t="shared" si="8"/>
        <v/>
      </c>
      <c r="AQ40" s="59">
        <f t="shared" si="9"/>
        <v>0</v>
      </c>
      <c r="AR40" s="59" t="str">
        <f t="shared" si="10"/>
        <v/>
      </c>
      <c r="AS40" s="61" t="str">
        <f>IFERROR(
   'Identitas Siswa'!E39 &amp; " " &amp; LOWER($AT$3) &amp; " " &amp; VLOOKUP(AP40, TP!$BO$5:$BP$24, 2, 0) &amp; ".",
"")</f>
        <v/>
      </c>
      <c r="AT40" s="61" t="str">
        <f>IFERROR(
   'Identitas Siswa'!E39 &amp; " " &amp; LOWER($AT$4) &amp; " " &amp; VLOOKUP(AR40, TP!$BO$5:$BP$24,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7"/>
      <c r="BA40" s="29">
        <f t="shared" si="2"/>
        <v>0</v>
      </c>
      <c r="BE40" s="51"/>
      <c r="BF40" s="51"/>
    </row>
    <row r="41" spans="1:58" customFormat="1" hidden="1" x14ac:dyDescent="0.25">
      <c r="A41" s="59">
        <f>'Identitas Siswa'!A40</f>
        <v>33</v>
      </c>
      <c r="B41" s="65" t="str">
        <f>IF('Identitas Siswa'!D40=0,"",'Identitas Siswa'!D40)</f>
        <v/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 t="str">
        <f t="shared" si="6"/>
        <v/>
      </c>
      <c r="AO41" s="59">
        <f t="shared" si="7"/>
        <v>0</v>
      </c>
      <c r="AP41" s="59" t="str">
        <f t="shared" si="8"/>
        <v/>
      </c>
      <c r="AQ41" s="59">
        <f t="shared" si="9"/>
        <v>0</v>
      </c>
      <c r="AR41" s="59" t="str">
        <f t="shared" si="10"/>
        <v/>
      </c>
      <c r="AS41" s="61" t="str">
        <f>IFERROR(
   'Identitas Siswa'!E40 &amp; " " &amp; LOWER($AT$3) &amp; " " &amp; VLOOKUP(AP41, TP!$BO$5:$BP$24, 2, 0) &amp; ".",
"")</f>
        <v/>
      </c>
      <c r="AT41" s="61" t="str">
        <f>IFERROR(
   'Identitas Siswa'!E40 &amp; " " &amp; LOWER($AT$4) &amp; " " &amp; VLOOKUP(AR41, TP!$BO$5:$BP$24,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7"/>
      <c r="BA41" s="29">
        <f t="shared" si="2"/>
        <v>0</v>
      </c>
      <c r="BE41" s="51"/>
      <c r="BF41" s="51"/>
    </row>
    <row r="42" spans="1:58" customFormat="1" hidden="1" x14ac:dyDescent="0.25">
      <c r="A42" s="59">
        <f>'Identitas Siswa'!A41</f>
        <v>34</v>
      </c>
      <c r="B42" s="65" t="str">
        <f>IF('Identitas Siswa'!D41=0,"",'Identitas Siswa'!D41)</f>
        <v/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 t="str">
        <f t="shared" si="6"/>
        <v/>
      </c>
      <c r="AO42" s="59">
        <f t="shared" si="7"/>
        <v>0</v>
      </c>
      <c r="AP42" s="59" t="str">
        <f t="shared" si="8"/>
        <v/>
      </c>
      <c r="AQ42" s="59">
        <f t="shared" si="9"/>
        <v>0</v>
      </c>
      <c r="AR42" s="59" t="str">
        <f t="shared" si="10"/>
        <v/>
      </c>
      <c r="AS42" s="61" t="str">
        <f>IFERROR(
   'Identitas Siswa'!E41 &amp; " " &amp; LOWER($AT$3) &amp; " " &amp; VLOOKUP(AP42, TP!$BO$5:$BP$24, 2, 0) &amp; ".",
"")</f>
        <v/>
      </c>
      <c r="AT42" s="61" t="str">
        <f>IFERROR(
   'Identitas Siswa'!E41 &amp; " " &amp; LOWER($AT$4) &amp; " " &amp; VLOOKUP(AR42, TP!$BO$5:$BP$24,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7"/>
      <c r="BA42" s="29">
        <f t="shared" si="2"/>
        <v>0</v>
      </c>
      <c r="BE42" s="51"/>
      <c r="BF42" s="51"/>
    </row>
    <row r="43" spans="1:58" customFormat="1" hidden="1" x14ac:dyDescent="0.25">
      <c r="A43" s="59">
        <f>'Identitas Siswa'!A42</f>
        <v>35</v>
      </c>
      <c r="B43" s="65" t="str">
        <f>IF('Identitas Siswa'!D42=0,"",'Identitas Siswa'!D42)</f>
        <v/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 t="str">
        <f t="shared" si="6"/>
        <v/>
      </c>
      <c r="AO43" s="59">
        <f t="shared" si="7"/>
        <v>0</v>
      </c>
      <c r="AP43" s="59" t="str">
        <f t="shared" si="8"/>
        <v/>
      </c>
      <c r="AQ43" s="59">
        <f t="shared" si="9"/>
        <v>0</v>
      </c>
      <c r="AR43" s="59" t="str">
        <f t="shared" si="10"/>
        <v/>
      </c>
      <c r="AS43" s="61" t="str">
        <f>IFERROR(
   'Identitas Siswa'!E42 &amp; " " &amp; LOWER($AT$3) &amp; " " &amp; VLOOKUP(AP43, TP!$BO$5:$BP$24, 2, 0) &amp; ".",
"")</f>
        <v/>
      </c>
      <c r="AT43" s="61" t="str">
        <f>IFERROR(
   'Identitas Siswa'!E42 &amp; " " &amp; LOWER($AT$4) &amp; " " &amp; VLOOKUP(AR43, TP!$BO$5:$BP$24,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7"/>
      <c r="BA43" s="29">
        <f t="shared" si="2"/>
        <v>0</v>
      </c>
      <c r="BE43" s="51"/>
      <c r="BF43" s="51"/>
    </row>
    <row r="44" spans="1:58" customFormat="1" hidden="1" x14ac:dyDescent="0.25">
      <c r="A44" s="59">
        <f>'Identitas Siswa'!A43</f>
        <v>36</v>
      </c>
      <c r="B44" s="65" t="str">
        <f>IF('Identitas Siswa'!D43=0,"",'Identitas Siswa'!D43)</f>
        <v/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 t="str">
        <f t="shared" si="6"/>
        <v/>
      </c>
      <c r="AO44" s="59">
        <f t="shared" si="7"/>
        <v>0</v>
      </c>
      <c r="AP44" s="59" t="str">
        <f t="shared" si="8"/>
        <v/>
      </c>
      <c r="AQ44" s="59">
        <f t="shared" si="9"/>
        <v>0</v>
      </c>
      <c r="AR44" s="59" t="str">
        <f t="shared" si="10"/>
        <v/>
      </c>
      <c r="AS44" s="61" t="str">
        <f>IFERROR(
   'Identitas Siswa'!E43 &amp; " " &amp; LOWER($AT$3) &amp; " " &amp; VLOOKUP(AP44, TP!$BO$5:$BP$24, 2, 0) &amp; ".",
"")</f>
        <v/>
      </c>
      <c r="AT44" s="61" t="str">
        <f>IFERROR(
   'Identitas Siswa'!E43 &amp; " " &amp; LOWER($AT$4) &amp; " " &amp; VLOOKUP(AR44, TP!$BO$5:$BP$24,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7"/>
      <c r="BA44" s="29">
        <f t="shared" si="2"/>
        <v>0</v>
      </c>
      <c r="BE44" s="51"/>
      <c r="BF44" s="51"/>
    </row>
    <row r="45" spans="1:58" customFormat="1" hidden="1" x14ac:dyDescent="0.25">
      <c r="A45" s="59">
        <f>'Identitas Siswa'!A44</f>
        <v>37</v>
      </c>
      <c r="B45" s="65" t="str">
        <f>IF('Identitas Siswa'!D44=0,"",'Identitas Siswa'!D44)</f>
        <v/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 t="str">
        <f t="shared" si="6"/>
        <v/>
      </c>
      <c r="AO45" s="59">
        <f t="shared" si="7"/>
        <v>0</v>
      </c>
      <c r="AP45" s="59" t="str">
        <f t="shared" si="8"/>
        <v/>
      </c>
      <c r="AQ45" s="59">
        <f t="shared" si="9"/>
        <v>0</v>
      </c>
      <c r="AR45" s="59" t="str">
        <f t="shared" si="10"/>
        <v/>
      </c>
      <c r="AS45" s="61" t="str">
        <f>IFERROR(
   'Identitas Siswa'!E44 &amp; " " &amp; LOWER($AT$3) &amp; " " &amp; VLOOKUP(AP45, TP!$BO$5:$BP$24, 2, 0) &amp; ".",
"")</f>
        <v/>
      </c>
      <c r="AT45" s="61" t="str">
        <f>IFERROR(
   'Identitas Siswa'!E44 &amp; " " &amp; LOWER($AT$4) &amp; " " &amp; VLOOKUP(AR45, TP!$BO$5:$BP$24,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7"/>
      <c r="BA45" s="29">
        <f t="shared" si="2"/>
        <v>0</v>
      </c>
      <c r="BE45" s="51"/>
      <c r="BF45" s="51"/>
    </row>
    <row r="46" spans="1:58" customFormat="1" hidden="1" x14ac:dyDescent="0.25">
      <c r="A46" s="59">
        <f>'Identitas Siswa'!A45</f>
        <v>38</v>
      </c>
      <c r="B46" s="65" t="str">
        <f>IF('Identitas Siswa'!D45=0,"",'Identitas Siswa'!D45)</f>
        <v/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 t="str">
        <f t="shared" si="6"/>
        <v/>
      </c>
      <c r="AO46" s="59">
        <f t="shared" si="7"/>
        <v>0</v>
      </c>
      <c r="AP46" s="59" t="str">
        <f t="shared" si="8"/>
        <v/>
      </c>
      <c r="AQ46" s="59">
        <f t="shared" si="9"/>
        <v>0</v>
      </c>
      <c r="AR46" s="59" t="str">
        <f t="shared" si="10"/>
        <v/>
      </c>
      <c r="AS46" s="61" t="str">
        <f>IFERROR(
   'Identitas Siswa'!E45 &amp; " " &amp; LOWER($AT$3) &amp; " " &amp; VLOOKUP(AP46, TP!$BO$5:$BP$24, 2, 0) &amp; ".",
"")</f>
        <v/>
      </c>
      <c r="AT46" s="61" t="str">
        <f>IFERROR(
   'Identitas Siswa'!E45 &amp; " " &amp; LOWER($AT$4) &amp; " " &amp; VLOOKUP(AR46, TP!$BO$5:$BP$24,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7"/>
      <c r="BA46" s="29">
        <f t="shared" si="2"/>
        <v>0</v>
      </c>
      <c r="BE46" s="51"/>
      <c r="BF46" s="51"/>
    </row>
    <row r="47" spans="1:58" customFormat="1" hidden="1" x14ac:dyDescent="0.25">
      <c r="A47" s="59">
        <f>'Identitas Siswa'!A46</f>
        <v>39</v>
      </c>
      <c r="B47" s="65" t="str">
        <f>IF('Identitas Siswa'!D46=0,"",'Identitas Siswa'!D46)</f>
        <v/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 t="str">
        <f t="shared" si="6"/>
        <v/>
      </c>
      <c r="AO47" s="59">
        <f t="shared" si="7"/>
        <v>0</v>
      </c>
      <c r="AP47" s="59" t="str">
        <f t="shared" si="8"/>
        <v/>
      </c>
      <c r="AQ47" s="59">
        <f t="shared" si="9"/>
        <v>0</v>
      </c>
      <c r="AR47" s="59" t="str">
        <f t="shared" si="10"/>
        <v/>
      </c>
      <c r="AS47" s="61" t="str">
        <f>IFERROR(
   'Identitas Siswa'!E46 &amp; " " &amp; LOWER($AT$3) &amp; " " &amp; VLOOKUP(AP47, TP!$BO$5:$BP$24, 2, 0) &amp; ".",
"")</f>
        <v/>
      </c>
      <c r="AT47" s="61" t="str">
        <f>IFERROR(
   'Identitas Siswa'!E46 &amp; " " &amp; LOWER($AT$4) &amp; " " &amp; VLOOKUP(AR47, TP!$BO$5:$BP$24,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7"/>
      <c r="BA47" s="29">
        <f t="shared" si="2"/>
        <v>0</v>
      </c>
      <c r="BE47" s="51"/>
      <c r="BF47" s="51"/>
    </row>
    <row r="48" spans="1:58" customFormat="1" hidden="1" x14ac:dyDescent="0.25">
      <c r="A48" s="59">
        <f>'Identitas Siswa'!A47</f>
        <v>40</v>
      </c>
      <c r="B48" s="65" t="str">
        <f>IF('Identitas Siswa'!D47=0,"",'Identitas Siswa'!D47)</f>
        <v/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 t="str">
        <f t="shared" si="6"/>
        <v/>
      </c>
      <c r="AO48" s="59">
        <f t="shared" si="7"/>
        <v>0</v>
      </c>
      <c r="AP48" s="59" t="str">
        <f t="shared" si="8"/>
        <v/>
      </c>
      <c r="AQ48" s="59">
        <f t="shared" si="9"/>
        <v>0</v>
      </c>
      <c r="AR48" s="59" t="str">
        <f t="shared" si="10"/>
        <v/>
      </c>
      <c r="AS48" s="61" t="str">
        <f>IFERROR(
   'Identitas Siswa'!E47 &amp; " " &amp; LOWER($AT$3) &amp; " " &amp; VLOOKUP(AP48, TP!$BO$5:$BP$24, 2, 0) &amp; ".",
"")</f>
        <v/>
      </c>
      <c r="AT48" s="61" t="str">
        <f>IFERROR(
   'Identitas Siswa'!E47 &amp; " " &amp; LOWER($AT$4) &amp; " " &amp; VLOOKUP(AR48, TP!$BO$5:$BP$24,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7"/>
      <c r="BA48" s="29">
        <f t="shared" si="2"/>
        <v>0</v>
      </c>
      <c r="BE48" s="51"/>
      <c r="BF48" s="51"/>
    </row>
    <row r="49" spans="1:58" customFormat="1" hidden="1" x14ac:dyDescent="0.25">
      <c r="A49" s="59">
        <f>'Identitas Siswa'!A48</f>
        <v>41</v>
      </c>
      <c r="B49" s="65" t="str">
        <f>IF('Identitas Siswa'!D48=0,"",'Identitas Siswa'!D48)</f>
        <v/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 t="str">
        <f t="shared" si="6"/>
        <v/>
      </c>
      <c r="AO49" s="59">
        <f t="shared" si="7"/>
        <v>0</v>
      </c>
      <c r="AP49" s="59" t="str">
        <f t="shared" si="8"/>
        <v/>
      </c>
      <c r="AQ49" s="59">
        <f t="shared" si="9"/>
        <v>0</v>
      </c>
      <c r="AR49" s="59" t="str">
        <f t="shared" si="10"/>
        <v/>
      </c>
      <c r="AS49" s="61" t="str">
        <f>IFERROR(
   'Identitas Siswa'!E48 &amp; " " &amp; LOWER($AT$3) &amp; " " &amp; VLOOKUP(AP49, TP!$BO$5:$BP$24, 2, 0) &amp; ".",
"")</f>
        <v/>
      </c>
      <c r="AT49" s="61" t="str">
        <f>IFERROR(
   'Identitas Siswa'!E48 &amp; " " &amp; LOWER($AT$4) &amp; " " &amp; VLOOKUP(AR49, TP!$BO$5:$BP$24,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7"/>
      <c r="BA49" s="29">
        <f t="shared" si="2"/>
        <v>0</v>
      </c>
      <c r="BE49" s="51"/>
      <c r="BF49" s="51"/>
    </row>
    <row r="50" spans="1:58" customFormat="1" hidden="1" x14ac:dyDescent="0.25">
      <c r="A50" s="59">
        <f>'Identitas Siswa'!A49</f>
        <v>42</v>
      </c>
      <c r="B50" s="65" t="str">
        <f>IF('Identitas Siswa'!D49=0,"",'Identitas Siswa'!D49)</f>
        <v/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 t="str">
        <f t="shared" si="6"/>
        <v/>
      </c>
      <c r="AO50" s="59">
        <f t="shared" si="7"/>
        <v>0</v>
      </c>
      <c r="AP50" s="59" t="str">
        <f t="shared" si="8"/>
        <v/>
      </c>
      <c r="AQ50" s="59">
        <f t="shared" si="9"/>
        <v>0</v>
      </c>
      <c r="AR50" s="59" t="str">
        <f t="shared" si="10"/>
        <v/>
      </c>
      <c r="AS50" s="61" t="str">
        <f>IFERROR(
   'Identitas Siswa'!E49 &amp; " " &amp; LOWER($AT$3) &amp; " " &amp; VLOOKUP(AP50, TP!$BO$5:$BP$24, 2, 0) &amp; ".",
"")</f>
        <v/>
      </c>
      <c r="AT50" s="61" t="str">
        <f>IFERROR(
   'Identitas Siswa'!E49 &amp; " " &amp; LOWER($AT$4) &amp; " " &amp; VLOOKUP(AR50, TP!$BO$5:$BP$24,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7"/>
      <c r="BA50" s="29">
        <f t="shared" si="2"/>
        <v>0</v>
      </c>
      <c r="BE50" s="51"/>
      <c r="BF50" s="51"/>
    </row>
    <row r="51" spans="1:58" customFormat="1" hidden="1" x14ac:dyDescent="0.25">
      <c r="A51" s="59">
        <f>'Identitas Siswa'!A50</f>
        <v>43</v>
      </c>
      <c r="B51" s="65" t="str">
        <f>IF('Identitas Siswa'!D50=0,"",'Identitas Siswa'!D50)</f>
        <v/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 t="str">
        <f t="shared" si="6"/>
        <v/>
      </c>
      <c r="AO51" s="59">
        <f t="shared" si="7"/>
        <v>0</v>
      </c>
      <c r="AP51" s="59" t="str">
        <f t="shared" si="8"/>
        <v/>
      </c>
      <c r="AQ51" s="59">
        <f t="shared" si="9"/>
        <v>0</v>
      </c>
      <c r="AR51" s="59" t="str">
        <f t="shared" si="10"/>
        <v/>
      </c>
      <c r="AS51" s="61" t="str">
        <f>IFERROR(
   'Identitas Siswa'!E50 &amp; " " &amp; LOWER($AT$3) &amp; " " &amp; VLOOKUP(AP51, TP!$BO$5:$BP$24, 2, 0) &amp; ".",
"")</f>
        <v/>
      </c>
      <c r="AT51" s="61" t="str">
        <f>IFERROR(
   'Identitas Siswa'!E50 &amp; " " &amp; LOWER($AT$4) &amp; " " &amp; VLOOKUP(AR51, TP!$BO$5:$BP$24,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7"/>
      <c r="BA51" s="29">
        <f t="shared" si="2"/>
        <v>0</v>
      </c>
      <c r="BE51" s="51"/>
      <c r="BF51" s="51"/>
    </row>
    <row r="52" spans="1:58" customFormat="1" hidden="1" x14ac:dyDescent="0.25">
      <c r="A52" s="59">
        <f>'Identitas Siswa'!A51</f>
        <v>44</v>
      </c>
      <c r="B52" s="65" t="str">
        <f>IF('Identitas Siswa'!D51=0,"",'Identitas Siswa'!D51)</f>
        <v/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 t="str">
        <f t="shared" si="6"/>
        <v/>
      </c>
      <c r="AO52" s="59">
        <f t="shared" si="7"/>
        <v>0</v>
      </c>
      <c r="AP52" s="59" t="str">
        <f t="shared" si="8"/>
        <v/>
      </c>
      <c r="AQ52" s="59">
        <f t="shared" si="9"/>
        <v>0</v>
      </c>
      <c r="AR52" s="59" t="str">
        <f t="shared" si="10"/>
        <v/>
      </c>
      <c r="AS52" s="61" t="str">
        <f>IFERROR(
   'Identitas Siswa'!E51 &amp; " " &amp; LOWER($AT$3) &amp; " " &amp; VLOOKUP(AP52, TP!$BO$5:$BP$24, 2, 0) &amp; ".",
"")</f>
        <v/>
      </c>
      <c r="AT52" s="61" t="str">
        <f>IFERROR(
   'Identitas Siswa'!E51 &amp; " " &amp; LOWER($AT$4) &amp; " " &amp; VLOOKUP(AR52, TP!$BO$5:$BP$24,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7"/>
      <c r="BA52" s="29">
        <f t="shared" si="2"/>
        <v>0</v>
      </c>
      <c r="BE52" s="51"/>
      <c r="BF52" s="51"/>
    </row>
    <row r="53" spans="1:58" customFormat="1" hidden="1" x14ac:dyDescent="0.25">
      <c r="A53" s="59">
        <f>'Identitas Siswa'!A52</f>
        <v>45</v>
      </c>
      <c r="B53" s="65" t="str">
        <f>IF('Identitas Siswa'!D52=0,"",'Identitas Siswa'!D52)</f>
        <v/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 t="str">
        <f t="shared" si="6"/>
        <v/>
      </c>
      <c r="AO53" s="59">
        <f t="shared" si="7"/>
        <v>0</v>
      </c>
      <c r="AP53" s="59" t="str">
        <f t="shared" si="8"/>
        <v/>
      </c>
      <c r="AQ53" s="59">
        <f t="shared" si="9"/>
        <v>0</v>
      </c>
      <c r="AR53" s="59" t="str">
        <f t="shared" si="10"/>
        <v/>
      </c>
      <c r="AS53" s="61" t="str">
        <f>IFERROR(
   'Identitas Siswa'!E52 &amp; " " &amp; LOWER($AT$3) &amp; " " &amp; VLOOKUP(AP53, TP!$BO$5:$BP$24, 2, 0) &amp; ".",
"")</f>
        <v/>
      </c>
      <c r="AT53" s="61" t="str">
        <f>IFERROR(
   'Identitas Siswa'!E52 &amp; " " &amp; LOWER($AT$4) &amp; " " &amp; VLOOKUP(AR53, TP!$BO$5:$BP$24,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7"/>
      <c r="BA53" s="29">
        <f t="shared" si="2"/>
        <v>0</v>
      </c>
      <c r="BE53" s="51"/>
      <c r="BF53" s="51"/>
    </row>
    <row r="54" spans="1:58" customFormat="1" hidden="1" x14ac:dyDescent="0.25">
      <c r="A54" s="59">
        <f>'Identitas Siswa'!A53</f>
        <v>46</v>
      </c>
      <c r="B54" s="65" t="str">
        <f>IF('Identitas Siswa'!D53=0,"",'Identitas Siswa'!D53)</f>
        <v/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 t="str">
        <f t="shared" si="6"/>
        <v/>
      </c>
      <c r="AO54" s="59">
        <f t="shared" si="7"/>
        <v>0</v>
      </c>
      <c r="AP54" s="59" t="str">
        <f t="shared" si="8"/>
        <v/>
      </c>
      <c r="AQ54" s="59">
        <f t="shared" si="9"/>
        <v>0</v>
      </c>
      <c r="AR54" s="59" t="str">
        <f t="shared" si="10"/>
        <v/>
      </c>
      <c r="AS54" s="61" t="str">
        <f>IFERROR(
   'Identitas Siswa'!E53 &amp; " " &amp; LOWER($AT$3) &amp; " " &amp; VLOOKUP(AP54, TP!$BO$5:$BP$24, 2, 0) &amp; ".",
"")</f>
        <v/>
      </c>
      <c r="AT54" s="61" t="str">
        <f>IFERROR(
   'Identitas Siswa'!E53 &amp; " " &amp; LOWER($AT$4) &amp; " " &amp; VLOOKUP(AR54, TP!$BO$5:$BP$24,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7"/>
      <c r="BA54" s="29">
        <f t="shared" si="2"/>
        <v>0</v>
      </c>
      <c r="BE54" s="51"/>
      <c r="BF54" s="51"/>
    </row>
    <row r="55" spans="1:58" customFormat="1" hidden="1" x14ac:dyDescent="0.25">
      <c r="A55" s="59">
        <f>'Identitas Siswa'!A54</f>
        <v>47</v>
      </c>
      <c r="B55" s="65" t="str">
        <f>IF('Identitas Siswa'!D54=0,"",'Identitas Siswa'!D54)</f>
        <v/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 t="str">
        <f t="shared" si="6"/>
        <v/>
      </c>
      <c r="AO55" s="59">
        <f t="shared" si="7"/>
        <v>0</v>
      </c>
      <c r="AP55" s="59" t="str">
        <f t="shared" si="8"/>
        <v/>
      </c>
      <c r="AQ55" s="59">
        <f t="shared" si="9"/>
        <v>0</v>
      </c>
      <c r="AR55" s="59" t="str">
        <f t="shared" si="10"/>
        <v/>
      </c>
      <c r="AS55" s="61" t="str">
        <f>IFERROR(
   'Identitas Siswa'!E54 &amp; " " &amp; LOWER($AT$3) &amp; " " &amp; VLOOKUP(AP55, TP!$BO$5:$BP$24, 2, 0) &amp; ".",
"")</f>
        <v/>
      </c>
      <c r="AT55" s="61" t="str">
        <f>IFERROR(
   'Identitas Siswa'!E54 &amp; " " &amp; LOWER($AT$4) &amp; " " &amp; VLOOKUP(AR55, TP!$BO$5:$BP$24,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7"/>
      <c r="BA55" s="29">
        <f t="shared" si="2"/>
        <v>0</v>
      </c>
      <c r="BE55" s="51"/>
      <c r="BF55" s="51"/>
    </row>
    <row r="56" spans="1:58" customFormat="1" hidden="1" x14ac:dyDescent="0.25">
      <c r="A56" s="59">
        <f>'Identitas Siswa'!A55</f>
        <v>48</v>
      </c>
      <c r="B56" s="65" t="str">
        <f>IF('Identitas Siswa'!D55=0,"",'Identitas Siswa'!D55)</f>
        <v/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 t="str">
        <f t="shared" si="6"/>
        <v/>
      </c>
      <c r="AO56" s="59">
        <f t="shared" si="7"/>
        <v>0</v>
      </c>
      <c r="AP56" s="59" t="str">
        <f t="shared" si="8"/>
        <v/>
      </c>
      <c r="AQ56" s="59">
        <f t="shared" si="9"/>
        <v>0</v>
      </c>
      <c r="AR56" s="59" t="str">
        <f t="shared" si="10"/>
        <v/>
      </c>
      <c r="AS56" s="61" t="str">
        <f>IFERROR(
   'Identitas Siswa'!E55 &amp; " " &amp; LOWER($AT$3) &amp; " " &amp; VLOOKUP(AP56, TP!$BO$5:$BP$24, 2, 0) &amp; ".",
"")</f>
        <v/>
      </c>
      <c r="AT56" s="61" t="str">
        <f>IFERROR(
   'Identitas Siswa'!E55 &amp; " " &amp; LOWER($AT$4) &amp; " " &amp; VLOOKUP(AR56, TP!$BO$5:$BP$24,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7"/>
      <c r="BA56" s="29">
        <f t="shared" si="2"/>
        <v>0</v>
      </c>
      <c r="BE56" s="51"/>
      <c r="BF56" s="51"/>
    </row>
    <row r="57" spans="1:58" customFormat="1" hidden="1" x14ac:dyDescent="0.25">
      <c r="A57" s="59">
        <f>'Identitas Siswa'!A56</f>
        <v>49</v>
      </c>
      <c r="B57" s="65" t="str">
        <f>IF('Identitas Siswa'!D56=0,"",'Identitas Siswa'!D56)</f>
        <v/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 t="str">
        <f t="shared" si="6"/>
        <v/>
      </c>
      <c r="AO57" s="59">
        <f t="shared" si="7"/>
        <v>0</v>
      </c>
      <c r="AP57" s="59" t="str">
        <f t="shared" si="8"/>
        <v/>
      </c>
      <c r="AQ57" s="59">
        <f t="shared" si="9"/>
        <v>0</v>
      </c>
      <c r="AR57" s="59" t="str">
        <f t="shared" si="10"/>
        <v/>
      </c>
      <c r="AS57" s="61" t="str">
        <f>IFERROR(
   'Identitas Siswa'!E56 &amp; " " &amp; LOWER($AT$3) &amp; " " &amp; VLOOKUP(AP57, TP!$BO$5:$BP$24, 2, 0) &amp; ".",
"")</f>
        <v/>
      </c>
      <c r="AT57" s="61" t="str">
        <f>IFERROR(
   'Identitas Siswa'!E56 &amp; " " &amp; LOWER($AT$4) &amp; " " &amp; VLOOKUP(AR57, TP!$BO$5:$BP$24,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7"/>
      <c r="BA57" s="29">
        <f t="shared" si="2"/>
        <v>0</v>
      </c>
      <c r="BE57" s="51"/>
      <c r="BF57" s="51"/>
    </row>
    <row r="58" spans="1:58" customFormat="1" hidden="1" x14ac:dyDescent="0.25">
      <c r="A58" s="59">
        <f>'Identitas Siswa'!A57</f>
        <v>50</v>
      </c>
      <c r="B58" s="65" t="str">
        <f>IF('Identitas Siswa'!D57=0,"",'Identitas Siswa'!D57)</f>
        <v/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 t="str">
        <f t="shared" si="6"/>
        <v/>
      </c>
      <c r="AO58" s="59">
        <f t="shared" si="7"/>
        <v>0</v>
      </c>
      <c r="AP58" s="59" t="str">
        <f t="shared" si="8"/>
        <v/>
      </c>
      <c r="AQ58" s="59">
        <f t="shared" si="9"/>
        <v>0</v>
      </c>
      <c r="AR58" s="59" t="str">
        <f t="shared" si="10"/>
        <v/>
      </c>
      <c r="AS58" s="61" t="str">
        <f>IFERROR(
   'Identitas Siswa'!E57 &amp; " " &amp; LOWER($AT$3) &amp; " " &amp; VLOOKUP(AP58, TP!$BO$5:$BP$24, 2, 0) &amp; ".",
"")</f>
        <v/>
      </c>
      <c r="AT58" s="61" t="str">
        <f>IFERROR(
   'Identitas Siswa'!E57 &amp; " " &amp; LOWER($AT$4) &amp; " " &amp; VLOOKUP(AR58, TP!$BO$5:$BP$24,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7"/>
      <c r="BA58" s="29">
        <f t="shared" si="2"/>
        <v>0</v>
      </c>
      <c r="BE58" s="51"/>
      <c r="BF58" s="51"/>
    </row>
    <row r="59" spans="1:58" customFormat="1" hidden="1" x14ac:dyDescent="0.25">
      <c r="A59" s="59">
        <f>'Identitas Siswa'!A58</f>
        <v>51</v>
      </c>
      <c r="B59" s="65" t="str">
        <f>IF('Identitas Siswa'!D58=0,"",'Identitas Siswa'!D58)</f>
        <v/>
      </c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 t="str">
        <f t="shared" si="6"/>
        <v/>
      </c>
      <c r="AO59" s="59">
        <f t="shared" si="7"/>
        <v>0</v>
      </c>
      <c r="AP59" s="59" t="str">
        <f t="shared" si="8"/>
        <v/>
      </c>
      <c r="AQ59" s="59">
        <f t="shared" si="9"/>
        <v>0</v>
      </c>
      <c r="AR59" s="59" t="str">
        <f t="shared" si="10"/>
        <v/>
      </c>
      <c r="AS59" s="61" t="str">
        <f>IFERROR(
   'Identitas Siswa'!E58 &amp; " " &amp; LOWER($AT$3) &amp; " " &amp; VLOOKUP(AP59, TP!$BO$5:$BP$24, 2, 0) &amp; ".",
"")</f>
        <v/>
      </c>
      <c r="AT59" s="61" t="str">
        <f>IFERROR(
   'Identitas Siswa'!E58 &amp; " " &amp; LOWER($AT$4) &amp; " " &amp; VLOOKUP(AR59, TP!$BO$5:$BP$24,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7"/>
      <c r="BA59" s="29">
        <f t="shared" si="2"/>
        <v>0</v>
      </c>
      <c r="BE59" s="51"/>
      <c r="BF59" s="51"/>
    </row>
    <row r="60" spans="1:58" customFormat="1" hidden="1" x14ac:dyDescent="0.25">
      <c r="A60" s="59">
        <f>'Identitas Siswa'!A59</f>
        <v>52</v>
      </c>
      <c r="B60" s="65" t="str">
        <f>IF('Identitas Siswa'!D59=0,"",'Identitas Siswa'!D59)</f>
        <v/>
      </c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 t="str">
        <f t="shared" si="6"/>
        <v/>
      </c>
      <c r="AO60" s="59">
        <f t="shared" si="7"/>
        <v>0</v>
      </c>
      <c r="AP60" s="59" t="str">
        <f t="shared" si="8"/>
        <v/>
      </c>
      <c r="AQ60" s="59">
        <f t="shared" si="9"/>
        <v>0</v>
      </c>
      <c r="AR60" s="59" t="str">
        <f t="shared" si="10"/>
        <v/>
      </c>
      <c r="AS60" s="61" t="str">
        <f>IFERROR(
   'Identitas Siswa'!E59 &amp; " " &amp; LOWER($AT$3) &amp; " " &amp; VLOOKUP(AP60, TP!$BO$5:$BP$24, 2, 0) &amp; ".",
"")</f>
        <v/>
      </c>
      <c r="AT60" s="61" t="str">
        <f>IFERROR(
   'Identitas Siswa'!E59 &amp; " " &amp; LOWER($AT$4) &amp; " " &amp; VLOOKUP(AR60, TP!$BO$5:$BP$24,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7"/>
      <c r="BA60" s="29">
        <f t="shared" si="2"/>
        <v>0</v>
      </c>
      <c r="BE60" s="51"/>
      <c r="BF60" s="51"/>
    </row>
    <row r="61" spans="1:58" customFormat="1" hidden="1" x14ac:dyDescent="0.25">
      <c r="A61" s="59">
        <f>'Identitas Siswa'!A60</f>
        <v>53</v>
      </c>
      <c r="B61" s="65" t="str">
        <f>IF('Identitas Siswa'!D60=0,"",'Identitas Siswa'!D60)</f>
        <v/>
      </c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 t="str">
        <f t="shared" si="6"/>
        <v/>
      </c>
      <c r="AO61" s="59">
        <f t="shared" si="7"/>
        <v>0</v>
      </c>
      <c r="AP61" s="59" t="str">
        <f t="shared" si="8"/>
        <v/>
      </c>
      <c r="AQ61" s="59">
        <f t="shared" si="9"/>
        <v>0</v>
      </c>
      <c r="AR61" s="59" t="str">
        <f t="shared" si="10"/>
        <v/>
      </c>
      <c r="AS61" s="61" t="str">
        <f>IFERROR(
   'Identitas Siswa'!E60 &amp; " " &amp; LOWER($AT$3) &amp; " " &amp; VLOOKUP(AP61, TP!$BO$5:$BP$24, 2, 0) &amp; ".",
"")</f>
        <v/>
      </c>
      <c r="AT61" s="61" t="str">
        <f>IFERROR(
   'Identitas Siswa'!E60 &amp; " " &amp; LOWER($AT$4) &amp; " " &amp; VLOOKUP(AR61, TP!$BO$5:$BP$24,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7"/>
      <c r="BA61" s="29">
        <f t="shared" si="2"/>
        <v>0</v>
      </c>
      <c r="BE61" s="51"/>
      <c r="BF61" s="51"/>
    </row>
    <row r="62" spans="1:58" customFormat="1" hidden="1" x14ac:dyDescent="0.25">
      <c r="A62" s="59">
        <f>'Identitas Siswa'!A61</f>
        <v>54</v>
      </c>
      <c r="B62" s="65" t="str">
        <f>IF('Identitas Siswa'!D61=0,"",'Identitas Siswa'!D61)</f>
        <v/>
      </c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 t="str">
        <f t="shared" si="6"/>
        <v/>
      </c>
      <c r="AO62" s="59">
        <f t="shared" si="7"/>
        <v>0</v>
      </c>
      <c r="AP62" s="59" t="str">
        <f t="shared" si="8"/>
        <v/>
      </c>
      <c r="AQ62" s="59">
        <f t="shared" si="9"/>
        <v>0</v>
      </c>
      <c r="AR62" s="59" t="str">
        <f t="shared" si="10"/>
        <v/>
      </c>
      <c r="AS62" s="61" t="str">
        <f>IFERROR(
   'Identitas Siswa'!E61 &amp; " " &amp; LOWER($AT$3) &amp; " " &amp; VLOOKUP(AP62, TP!$BO$5:$BP$24, 2, 0) &amp; ".",
"")</f>
        <v/>
      </c>
      <c r="AT62" s="61" t="str">
        <f>IFERROR(
   'Identitas Siswa'!E61 &amp; " " &amp; LOWER($AT$4) &amp; " " &amp; VLOOKUP(AR62, TP!$BO$5:$BP$24,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7"/>
      <c r="BA62" s="29">
        <f t="shared" si="2"/>
        <v>0</v>
      </c>
      <c r="BE62" s="51"/>
      <c r="BF62" s="51"/>
    </row>
    <row r="63" spans="1:58" customFormat="1" hidden="1" x14ac:dyDescent="0.25">
      <c r="A63" s="59">
        <f>'Identitas Siswa'!A62</f>
        <v>55</v>
      </c>
      <c r="B63" s="65" t="str">
        <f>IF('Identitas Siswa'!D62=0,"",'Identitas Siswa'!D62)</f>
        <v/>
      </c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 t="str">
        <f t="shared" si="6"/>
        <v/>
      </c>
      <c r="AO63" s="59">
        <f t="shared" si="7"/>
        <v>0</v>
      </c>
      <c r="AP63" s="59" t="str">
        <f t="shared" si="8"/>
        <v/>
      </c>
      <c r="AQ63" s="59">
        <f t="shared" si="9"/>
        <v>0</v>
      </c>
      <c r="AR63" s="59" t="str">
        <f t="shared" si="10"/>
        <v/>
      </c>
      <c r="AS63" s="61" t="str">
        <f>IFERROR(
   'Identitas Siswa'!E62 &amp; " " &amp; LOWER($AT$3) &amp; " " &amp; VLOOKUP(AP63, TP!$BO$5:$BP$24, 2, 0) &amp; ".",
"")</f>
        <v/>
      </c>
      <c r="AT63" s="61" t="str">
        <f>IFERROR(
   'Identitas Siswa'!E62 &amp; " " &amp; LOWER($AT$4) &amp; " " &amp; VLOOKUP(AR63, TP!$BO$5:$BP$24,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7"/>
      <c r="BA63" s="29">
        <f t="shared" si="2"/>
        <v>0</v>
      </c>
      <c r="BE63" s="51"/>
      <c r="BF63" s="51"/>
    </row>
    <row r="64" spans="1:58" customFormat="1" hidden="1" x14ac:dyDescent="0.25">
      <c r="A64" s="59">
        <f>'Identitas Siswa'!A63</f>
        <v>56</v>
      </c>
      <c r="B64" s="65" t="str">
        <f>IF('Identitas Siswa'!D63=0,"",'Identitas Siswa'!D63)</f>
        <v/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 t="str">
        <f t="shared" si="6"/>
        <v/>
      </c>
      <c r="AO64" s="59">
        <f t="shared" si="7"/>
        <v>0</v>
      </c>
      <c r="AP64" s="59" t="str">
        <f t="shared" si="8"/>
        <v/>
      </c>
      <c r="AQ64" s="59">
        <f t="shared" si="9"/>
        <v>0</v>
      </c>
      <c r="AR64" s="59" t="str">
        <f t="shared" si="10"/>
        <v/>
      </c>
      <c r="AS64" s="61" t="str">
        <f>IFERROR(
   'Identitas Siswa'!E63 &amp; " " &amp; LOWER($AT$3) &amp; " " &amp; VLOOKUP(AP64, TP!$BO$5:$BP$24, 2, 0) &amp; ".",
"")</f>
        <v/>
      </c>
      <c r="AT64" s="61" t="str">
        <f>IFERROR(
   'Identitas Siswa'!E63 &amp; " " &amp; LOWER($AT$4) &amp; " " &amp; VLOOKUP(AR64, TP!$BO$5:$BP$24,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7"/>
      <c r="BA64" s="29">
        <f t="shared" si="2"/>
        <v>0</v>
      </c>
      <c r="BE64" s="51"/>
      <c r="BF64" s="51"/>
    </row>
    <row r="65" spans="1:58" customFormat="1" hidden="1" x14ac:dyDescent="0.25">
      <c r="A65" s="59">
        <f>'Identitas Siswa'!A64</f>
        <v>57</v>
      </c>
      <c r="B65" s="65" t="str">
        <f>IF('Identitas Siswa'!D64=0,"",'Identitas Siswa'!D64)</f>
        <v/>
      </c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 t="str">
        <f t="shared" si="6"/>
        <v/>
      </c>
      <c r="AO65" s="59">
        <f t="shared" si="7"/>
        <v>0</v>
      </c>
      <c r="AP65" s="59" t="str">
        <f t="shared" si="8"/>
        <v/>
      </c>
      <c r="AQ65" s="59">
        <f t="shared" si="9"/>
        <v>0</v>
      </c>
      <c r="AR65" s="59" t="str">
        <f t="shared" si="10"/>
        <v/>
      </c>
      <c r="AS65" s="61" t="str">
        <f>IFERROR(
   'Identitas Siswa'!E64 &amp; " " &amp; LOWER($AT$3) &amp; " " &amp; VLOOKUP(AP65, TP!$BO$5:$BP$24, 2, 0) &amp; ".",
"")</f>
        <v/>
      </c>
      <c r="AT65" s="61" t="str">
        <f>IFERROR(
   'Identitas Siswa'!E64 &amp; " " &amp; LOWER($AT$4) &amp; " " &amp; VLOOKUP(AR65, TP!$BO$5:$BP$24,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7"/>
      <c r="BA65" s="29">
        <f t="shared" si="2"/>
        <v>0</v>
      </c>
      <c r="BE65" s="51"/>
      <c r="BF65" s="51"/>
    </row>
    <row r="66" spans="1:58" customFormat="1" hidden="1" x14ac:dyDescent="0.25">
      <c r="A66" s="59">
        <f>'Identitas Siswa'!A65</f>
        <v>58</v>
      </c>
      <c r="B66" s="65" t="str">
        <f>IF('Identitas Siswa'!D65=0,"",'Identitas Siswa'!D65)</f>
        <v/>
      </c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 t="str">
        <f t="shared" si="6"/>
        <v/>
      </c>
      <c r="AO66" s="59">
        <f t="shared" si="7"/>
        <v>0</v>
      </c>
      <c r="AP66" s="59" t="str">
        <f t="shared" si="8"/>
        <v/>
      </c>
      <c r="AQ66" s="59">
        <f t="shared" si="9"/>
        <v>0</v>
      </c>
      <c r="AR66" s="59" t="str">
        <f t="shared" si="10"/>
        <v/>
      </c>
      <c r="AS66" s="61" t="str">
        <f>IFERROR(
   'Identitas Siswa'!E65 &amp; " " &amp; LOWER($AT$3) &amp; " " &amp; VLOOKUP(AP66, TP!$BO$5:$BP$24, 2, 0) &amp; ".",
"")</f>
        <v/>
      </c>
      <c r="AT66" s="61" t="str">
        <f>IFERROR(
   'Identitas Siswa'!E65 &amp; " " &amp; LOWER($AT$4) &amp; " " &amp; VLOOKUP(AR66, TP!$BO$5:$BP$24,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7"/>
      <c r="BA66" s="29">
        <f t="shared" si="2"/>
        <v>0</v>
      </c>
      <c r="BE66" s="51"/>
      <c r="BF66" s="51"/>
    </row>
    <row r="67" spans="1:58" customFormat="1" hidden="1" x14ac:dyDescent="0.25">
      <c r="A67" s="59">
        <f>'Identitas Siswa'!A66</f>
        <v>59</v>
      </c>
      <c r="B67" s="65" t="str">
        <f>IF('Identitas Siswa'!D66=0,"",'Identitas Siswa'!D66)</f>
        <v/>
      </c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 t="str">
        <f t="shared" si="6"/>
        <v/>
      </c>
      <c r="AO67" s="59">
        <f t="shared" si="7"/>
        <v>0</v>
      </c>
      <c r="AP67" s="59" t="str">
        <f t="shared" si="8"/>
        <v/>
      </c>
      <c r="AQ67" s="59">
        <f t="shared" si="9"/>
        <v>0</v>
      </c>
      <c r="AR67" s="59" t="str">
        <f t="shared" si="10"/>
        <v/>
      </c>
      <c r="AS67" s="61" t="str">
        <f>IFERROR(
   'Identitas Siswa'!E66 &amp; " " &amp; LOWER($AT$3) &amp; " " &amp; VLOOKUP(AP67, TP!$BO$5:$BP$24, 2, 0) &amp; ".",
"")</f>
        <v/>
      </c>
      <c r="AT67" s="61" t="str">
        <f>IFERROR(
   'Identitas Siswa'!E66 &amp; " " &amp; LOWER($AT$4) &amp; " " &amp; VLOOKUP(AR67, TP!$BO$5:$BP$24,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7"/>
      <c r="BA67" s="29">
        <f t="shared" si="2"/>
        <v>0</v>
      </c>
      <c r="BE67" s="51"/>
      <c r="BF67" s="51"/>
    </row>
    <row r="68" spans="1:58" customFormat="1" hidden="1" x14ac:dyDescent="0.25">
      <c r="A68" s="59">
        <f>'Identitas Siswa'!A67</f>
        <v>60</v>
      </c>
      <c r="B68" s="65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60">
        <f t="shared" si="3"/>
        <v>0</v>
      </c>
      <c r="AL68" s="60">
        <f t="shared" si="4"/>
        <v>0</v>
      </c>
      <c r="AM68" s="60">
        <f t="shared" si="5"/>
        <v>0</v>
      </c>
      <c r="AN68" s="60" t="str">
        <f t="shared" si="6"/>
        <v/>
      </c>
      <c r="AO68" s="59">
        <f t="shared" si="7"/>
        <v>0</v>
      </c>
      <c r="AP68" s="59" t="str">
        <f t="shared" si="8"/>
        <v/>
      </c>
      <c r="AQ68" s="59">
        <f t="shared" si="9"/>
        <v>0</v>
      </c>
      <c r="AR68" s="59" t="str">
        <f t="shared" si="10"/>
        <v/>
      </c>
      <c r="AS68" s="61" t="str">
        <f>IFERROR(
   'Identitas Siswa'!E67 &amp; " " &amp; LOWER($AT$3) &amp; " " &amp; VLOOKUP(AP68, TP!$BO$5:$BP$24, 2, 0) &amp; ".",
"")</f>
        <v/>
      </c>
      <c r="AT68" s="61" t="str">
        <f>IFERROR(
   'Identitas Siswa'!E67 &amp; " " &amp; LOWER($AT$4) &amp; " " &amp; VLOOKUP(AR68, TP!$BO$5:$BP$24,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7"/>
      <c r="BA68" s="29">
        <f t="shared" si="2"/>
        <v>0</v>
      </c>
      <c r="BE68" s="51"/>
      <c r="BF68" s="51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1" priority="32">
      <formula>$C$8=""</formula>
    </cfRule>
  </conditionalFormatting>
  <conditionalFormatting sqref="D9:D68">
    <cfRule type="expression" dxfId="30" priority="31">
      <formula>$D$8=""</formula>
    </cfRule>
  </conditionalFormatting>
  <conditionalFormatting sqref="E9:E68">
    <cfRule type="expression" dxfId="29" priority="30">
      <formula>$E$8=""</formula>
    </cfRule>
  </conditionalFormatting>
  <conditionalFormatting sqref="F9:F68">
    <cfRule type="expression" dxfId="28" priority="29">
      <formula>$F$8=""</formula>
    </cfRule>
  </conditionalFormatting>
  <conditionalFormatting sqref="G9:G68">
    <cfRule type="expression" dxfId="27" priority="28">
      <formula>$G$8=""</formula>
    </cfRule>
  </conditionalFormatting>
  <conditionalFormatting sqref="H9:H68">
    <cfRule type="expression" dxfId="26" priority="27">
      <formula>$H$8=""</formula>
    </cfRule>
  </conditionalFormatting>
  <conditionalFormatting sqref="I9:I68">
    <cfRule type="expression" dxfId="25" priority="26">
      <formula>$I$8=""</formula>
    </cfRule>
  </conditionalFormatting>
  <conditionalFormatting sqref="J9:J68">
    <cfRule type="expression" dxfId="24" priority="25">
      <formula>$J$8=""</formula>
    </cfRule>
  </conditionalFormatting>
  <conditionalFormatting sqref="K9:K68">
    <cfRule type="expression" dxfId="23" priority="24">
      <formula>$K$8=""</formula>
    </cfRule>
  </conditionalFormatting>
  <conditionalFormatting sqref="L9:L68">
    <cfRule type="expression" dxfId="22" priority="23">
      <formula>$L$8=""</formula>
    </cfRule>
  </conditionalFormatting>
  <conditionalFormatting sqref="M9:M68">
    <cfRule type="expression" dxfId="21" priority="22">
      <formula>$M$8=""</formula>
    </cfRule>
  </conditionalFormatting>
  <conditionalFormatting sqref="N9:N68">
    <cfRule type="expression" dxfId="20" priority="21">
      <formula>$N$8=""</formula>
    </cfRule>
  </conditionalFormatting>
  <conditionalFormatting sqref="O9:O68">
    <cfRule type="expression" dxfId="19" priority="20">
      <formula>$O$8=""</formula>
    </cfRule>
  </conditionalFormatting>
  <conditionalFormatting sqref="P9:P68">
    <cfRule type="expression" dxfId="18" priority="19">
      <formula>$P$8=""</formula>
    </cfRule>
  </conditionalFormatting>
  <conditionalFormatting sqref="Q9:Q68">
    <cfRule type="expression" dxfId="17" priority="18">
      <formula>$Q$8=""</formula>
    </cfRule>
  </conditionalFormatting>
  <conditionalFormatting sqref="R9:R68">
    <cfRule type="expression" dxfId="16" priority="17">
      <formula>$R$8=""</formula>
    </cfRule>
  </conditionalFormatting>
  <conditionalFormatting sqref="S9:S68">
    <cfRule type="expression" dxfId="15" priority="16">
      <formula>$S$8=""</formula>
    </cfRule>
  </conditionalFormatting>
  <conditionalFormatting sqref="T9:T68">
    <cfRule type="expression" dxfId="14" priority="15">
      <formula>$T$8=""</formula>
    </cfRule>
  </conditionalFormatting>
  <conditionalFormatting sqref="U9:U68">
    <cfRule type="expression" dxfId="13" priority="14">
      <formula>$U$8=""</formula>
    </cfRule>
  </conditionalFormatting>
  <conditionalFormatting sqref="V9:V68">
    <cfRule type="expression" dxfId="12" priority="13">
      <formula>$V$8=""</formula>
    </cfRule>
  </conditionalFormatting>
  <conditionalFormatting sqref="W9:W68">
    <cfRule type="expression" dxfId="11" priority="12">
      <formula>$W$8=""</formula>
    </cfRule>
  </conditionalFormatting>
  <conditionalFormatting sqref="X9:X68">
    <cfRule type="expression" dxfId="10" priority="11">
      <formula>$X$8=""</formula>
    </cfRule>
  </conditionalFormatting>
  <conditionalFormatting sqref="Y9:Y68">
    <cfRule type="expression" dxfId="9" priority="10">
      <formula>$Y$8=""</formula>
    </cfRule>
  </conditionalFormatting>
  <conditionalFormatting sqref="Z9:Z68">
    <cfRule type="expression" dxfId="8" priority="9">
      <formula>$Z$8=""</formula>
    </cfRule>
  </conditionalFormatting>
  <conditionalFormatting sqref="AA9:AA68">
    <cfRule type="expression" dxfId="7" priority="8">
      <formula>$AA$8=""</formula>
    </cfRule>
  </conditionalFormatting>
  <conditionalFormatting sqref="AB9:AB68">
    <cfRule type="expression" dxfId="6" priority="7">
      <formula>$AB$8=""</formula>
    </cfRule>
  </conditionalFormatting>
  <conditionalFormatting sqref="AC9:AC68">
    <cfRule type="expression" dxfId="5" priority="6">
      <formula>$AC$8=""</formula>
    </cfRule>
  </conditionalFormatting>
  <conditionalFormatting sqref="AD9:AD68">
    <cfRule type="expression" dxfId="4" priority="5">
      <formula>$AD$8=""</formula>
    </cfRule>
  </conditionalFormatting>
  <conditionalFormatting sqref="AE9:AE68">
    <cfRule type="expression" dxfId="3" priority="4">
      <formula>$AE$8=""</formula>
    </cfRule>
  </conditionalFormatting>
  <conditionalFormatting sqref="AF9:AF68">
    <cfRule type="expression" dxfId="2" priority="3">
      <formula>$AF$8=""</formula>
    </cfRule>
  </conditionalFormatting>
  <conditionalFormatting sqref="AG9:AG68">
    <cfRule type="expression" dxfId="1" priority="2">
      <formula>$AG$8=""</formula>
    </cfRule>
  </conditionalFormatting>
  <conditionalFormatting sqref="AH9:AH68">
    <cfRule type="expression" dxfId="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9153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498A-1CA2-4132-A0A9-911629D788FA}">
  <sheetPr codeName="Sheet22"/>
  <dimension ref="A1:M69"/>
  <sheetViews>
    <sheetView zoomScale="55" zoomScaleNormal="55" workbookViewId="0">
      <pane xSplit="2" ySplit="8" topLeftCell="C11" activePane="bottomRight" state="frozen"/>
      <selection pane="topRight" activeCell="C1" sqref="C1"/>
      <selection pane="bottomLeft" activeCell="A9" sqref="A9"/>
      <selection pane="bottomRight" activeCell="C9" sqref="C9:L68"/>
    </sheetView>
  </sheetViews>
  <sheetFormatPr defaultColWidth="0" defaultRowHeight="15" zeroHeight="1" x14ac:dyDescent="0.25"/>
  <cols>
    <col min="1" max="1" width="4.5703125" customWidth="1"/>
    <col min="2" max="2" width="28.7109375" customWidth="1"/>
    <col min="3" max="3" width="13.140625" customWidth="1"/>
    <col min="4" max="4" width="35.28515625" customWidth="1"/>
    <col min="5" max="5" width="11.28515625" bestFit="1" customWidth="1"/>
    <col min="6" max="6" width="24.42578125" customWidth="1"/>
    <col min="7" max="7" width="11.7109375" customWidth="1"/>
    <col min="8" max="8" width="25.42578125" customWidth="1"/>
    <col min="9" max="9" width="10.140625" customWidth="1"/>
    <col min="10" max="10" width="23.7109375" customWidth="1"/>
    <col min="11" max="11" width="12.5703125" customWidth="1"/>
    <col min="12" max="12" width="31.42578125" customWidth="1"/>
    <col min="13" max="13" width="9.140625" style="99" customWidth="1"/>
    <col min="14" max="16384" width="9.140625" hidden="1"/>
  </cols>
  <sheetData>
    <row r="1" spans="1:12" s="99" customFormat="1" x14ac:dyDescent="0.25"/>
    <row r="2" spans="1:12" s="99" customFormat="1" x14ac:dyDescent="0.25"/>
    <row r="3" spans="1:12" s="99" customFormat="1" x14ac:dyDescent="0.25"/>
    <row r="4" spans="1:12" s="99" customFormat="1" x14ac:dyDescent="0.25"/>
    <row r="5" spans="1:12" s="99" customFormat="1" ht="15.75" thickBot="1" x14ac:dyDescent="0.3"/>
    <row r="6" spans="1:12" x14ac:dyDescent="0.25">
      <c r="A6" s="292" t="s">
        <v>81</v>
      </c>
      <c r="B6" s="294" t="s">
        <v>64</v>
      </c>
      <c r="C6" s="294" t="s">
        <v>17</v>
      </c>
      <c r="D6" s="294"/>
      <c r="E6" s="294"/>
      <c r="F6" s="294"/>
      <c r="G6" s="294"/>
      <c r="H6" s="294"/>
      <c r="I6" s="294"/>
      <c r="J6" s="294"/>
      <c r="K6" s="294"/>
      <c r="L6" s="295"/>
    </row>
    <row r="7" spans="1:12" x14ac:dyDescent="0.25">
      <c r="A7" s="293"/>
      <c r="B7" s="266"/>
      <c r="C7" s="266" t="s">
        <v>362</v>
      </c>
      <c r="D7" s="266"/>
      <c r="E7" s="266" t="s">
        <v>369</v>
      </c>
      <c r="F7" s="266"/>
      <c r="G7" s="266" t="s">
        <v>370</v>
      </c>
      <c r="H7" s="266"/>
      <c r="I7" s="266" t="s">
        <v>371</v>
      </c>
      <c r="J7" s="266"/>
      <c r="K7" s="266" t="s">
        <v>372</v>
      </c>
      <c r="L7" s="296"/>
    </row>
    <row r="8" spans="1:12" x14ac:dyDescent="0.25">
      <c r="A8" s="293"/>
      <c r="B8" s="266"/>
      <c r="C8" s="52" t="s">
        <v>363</v>
      </c>
      <c r="D8" s="52" t="s">
        <v>364</v>
      </c>
      <c r="E8" s="52" t="s">
        <v>365</v>
      </c>
      <c r="F8" s="52" t="s">
        <v>364</v>
      </c>
      <c r="G8" s="52" t="s">
        <v>366</v>
      </c>
      <c r="H8" s="52" t="s">
        <v>364</v>
      </c>
      <c r="I8" s="52" t="s">
        <v>367</v>
      </c>
      <c r="J8" s="52" t="s">
        <v>364</v>
      </c>
      <c r="K8" s="52" t="s">
        <v>368</v>
      </c>
      <c r="L8" s="78" t="s">
        <v>364</v>
      </c>
    </row>
    <row r="9" spans="1:12" x14ac:dyDescent="0.25">
      <c r="A9" s="71">
        <f>'Identitas Siswa'!A8</f>
        <v>1</v>
      </c>
      <c r="B9" s="70" t="str">
        <f>IF('Identitas Siswa'!D8=0,"",'Identitas Siswa'!D8)</f>
        <v>Abhy Arfa Ridho Hibatullah</v>
      </c>
      <c r="C9" s="168" t="s">
        <v>410</v>
      </c>
      <c r="D9" s="168" t="s">
        <v>411</v>
      </c>
      <c r="E9" s="168" t="s">
        <v>413</v>
      </c>
      <c r="F9" s="168" t="s">
        <v>414</v>
      </c>
      <c r="G9" s="168"/>
      <c r="H9" s="168"/>
      <c r="I9" s="168" t="s">
        <v>416</v>
      </c>
      <c r="J9" s="168" t="s">
        <v>417</v>
      </c>
      <c r="K9" s="168"/>
      <c r="L9" s="169"/>
    </row>
    <row r="10" spans="1:12" x14ac:dyDescent="0.25">
      <c r="A10" s="71">
        <f>'Identitas Siswa'!A9</f>
        <v>2</v>
      </c>
      <c r="B10" s="70" t="str">
        <f>IF('Identitas Siswa'!D9=0,"",'Identitas Siswa'!D9)</f>
        <v>aku saja</v>
      </c>
      <c r="C10" s="168" t="s">
        <v>410</v>
      </c>
      <c r="D10" s="168" t="s">
        <v>412</v>
      </c>
      <c r="E10" s="168"/>
      <c r="F10" s="168"/>
      <c r="G10" s="168" t="s">
        <v>415</v>
      </c>
      <c r="H10" s="168" t="s">
        <v>414</v>
      </c>
      <c r="I10" s="168"/>
      <c r="J10" s="168"/>
      <c r="K10" s="168" t="s">
        <v>418</v>
      </c>
      <c r="L10" s="169" t="s">
        <v>419</v>
      </c>
    </row>
    <row r="11" spans="1:12" x14ac:dyDescent="0.25">
      <c r="A11" s="71">
        <f>'Identitas Siswa'!A10</f>
        <v>3</v>
      </c>
      <c r="B11" s="70" t="str">
        <f>IF('Identitas Siswa'!D10=0,"",'Identitas Siswa'!D10)</f>
        <v/>
      </c>
      <c r="C11" s="168"/>
      <c r="D11" s="168"/>
      <c r="E11" s="168"/>
      <c r="F11" s="168"/>
      <c r="G11" s="168"/>
      <c r="H11" s="168"/>
      <c r="I11" s="168"/>
      <c r="J11" s="168"/>
      <c r="K11" s="168"/>
      <c r="L11" s="169"/>
    </row>
    <row r="12" spans="1:12" hidden="1" x14ac:dyDescent="0.25">
      <c r="A12" s="71">
        <f>'Identitas Siswa'!A11</f>
        <v>4</v>
      </c>
      <c r="B12" s="70" t="str">
        <f>IF('Identitas Siswa'!D11=0,"",'Identitas Siswa'!D11)</f>
        <v/>
      </c>
      <c r="C12" s="168"/>
      <c r="D12" s="168"/>
      <c r="E12" s="168"/>
      <c r="F12" s="168"/>
      <c r="G12" s="168"/>
      <c r="H12" s="168"/>
      <c r="I12" s="168"/>
      <c r="J12" s="168"/>
      <c r="K12" s="168"/>
      <c r="L12" s="169"/>
    </row>
    <row r="13" spans="1:12" hidden="1" x14ac:dyDescent="0.25">
      <c r="A13" s="71">
        <f>'Identitas Siswa'!A12</f>
        <v>5</v>
      </c>
      <c r="B13" s="70" t="str">
        <f>IF('Identitas Siswa'!D12=0,"",'Identitas Siswa'!D12)</f>
        <v/>
      </c>
      <c r="C13" s="168"/>
      <c r="D13" s="168"/>
      <c r="E13" s="168"/>
      <c r="F13" s="168"/>
      <c r="G13" s="168"/>
      <c r="H13" s="168"/>
      <c r="I13" s="168"/>
      <c r="J13" s="168"/>
      <c r="K13" s="168"/>
      <c r="L13" s="169"/>
    </row>
    <row r="14" spans="1:12" hidden="1" x14ac:dyDescent="0.25">
      <c r="A14" s="71">
        <f>'Identitas Siswa'!A13</f>
        <v>6</v>
      </c>
      <c r="B14" s="70" t="str">
        <f>IF('Identitas Siswa'!D13=0,"",'Identitas Siswa'!D13)</f>
        <v/>
      </c>
      <c r="C14" s="168"/>
      <c r="D14" s="168"/>
      <c r="E14" s="168"/>
      <c r="F14" s="168"/>
      <c r="G14" s="168"/>
      <c r="H14" s="168"/>
      <c r="I14" s="168"/>
      <c r="J14" s="168"/>
      <c r="K14" s="168"/>
      <c r="L14" s="169"/>
    </row>
    <row r="15" spans="1:12" hidden="1" x14ac:dyDescent="0.25">
      <c r="A15" s="71">
        <f>'Identitas Siswa'!A14</f>
        <v>7</v>
      </c>
      <c r="B15" s="70" t="str">
        <f>IF('Identitas Siswa'!D14=0,"",'Identitas Siswa'!D14)</f>
        <v/>
      </c>
      <c r="C15" s="168"/>
      <c r="D15" s="168"/>
      <c r="E15" s="168"/>
      <c r="F15" s="168"/>
      <c r="G15" s="168"/>
      <c r="H15" s="168"/>
      <c r="I15" s="168"/>
      <c r="J15" s="168"/>
      <c r="K15" s="168"/>
      <c r="L15" s="169"/>
    </row>
    <row r="16" spans="1:12" hidden="1" x14ac:dyDescent="0.25">
      <c r="A16" s="71">
        <f>'Identitas Siswa'!A15</f>
        <v>8</v>
      </c>
      <c r="B16" s="70" t="str">
        <f>IF('Identitas Siswa'!D15=0,"",'Identitas Siswa'!D15)</f>
        <v/>
      </c>
      <c r="C16" s="168"/>
      <c r="D16" s="168"/>
      <c r="E16" s="168"/>
      <c r="F16" s="168"/>
      <c r="G16" s="168"/>
      <c r="H16" s="168"/>
      <c r="I16" s="168"/>
      <c r="J16" s="168"/>
      <c r="K16" s="168"/>
      <c r="L16" s="169"/>
    </row>
    <row r="17" spans="1:12" hidden="1" x14ac:dyDescent="0.25">
      <c r="A17" s="71">
        <f>'Identitas Siswa'!A16</f>
        <v>9</v>
      </c>
      <c r="B17" s="70" t="str">
        <f>IF('Identitas Siswa'!D16=0,"",'Identitas Siswa'!D16)</f>
        <v/>
      </c>
      <c r="C17" s="168"/>
      <c r="D17" s="168"/>
      <c r="E17" s="168"/>
      <c r="F17" s="168"/>
      <c r="G17" s="168"/>
      <c r="H17" s="168"/>
      <c r="I17" s="168"/>
      <c r="J17" s="168"/>
      <c r="K17" s="168"/>
      <c r="L17" s="169"/>
    </row>
    <row r="18" spans="1:12" hidden="1" x14ac:dyDescent="0.25">
      <c r="A18" s="71">
        <f>'Identitas Siswa'!A17</f>
        <v>10</v>
      </c>
      <c r="B18" s="70" t="str">
        <f>IF('Identitas Siswa'!D17=0,"",'Identitas Siswa'!D17)</f>
        <v/>
      </c>
      <c r="C18" s="168"/>
      <c r="D18" s="168"/>
      <c r="E18" s="168"/>
      <c r="F18" s="168"/>
      <c r="G18" s="168"/>
      <c r="H18" s="168"/>
      <c r="I18" s="168"/>
      <c r="J18" s="168"/>
      <c r="K18" s="168"/>
      <c r="L18" s="169"/>
    </row>
    <row r="19" spans="1:12" hidden="1" x14ac:dyDescent="0.25">
      <c r="A19" s="71">
        <f>'Identitas Siswa'!A18</f>
        <v>11</v>
      </c>
      <c r="B19" s="70" t="str">
        <f>IF('Identitas Siswa'!D18=0,"",'Identitas Siswa'!D18)</f>
        <v/>
      </c>
      <c r="C19" s="168"/>
      <c r="D19" s="168"/>
      <c r="E19" s="168"/>
      <c r="F19" s="168"/>
      <c r="G19" s="168"/>
      <c r="H19" s="168"/>
      <c r="I19" s="168"/>
      <c r="J19" s="168"/>
      <c r="K19" s="168"/>
      <c r="L19" s="169"/>
    </row>
    <row r="20" spans="1:12" hidden="1" x14ac:dyDescent="0.25">
      <c r="A20" s="71">
        <f>'Identitas Siswa'!A19</f>
        <v>12</v>
      </c>
      <c r="B20" s="70" t="str">
        <f>IF('Identitas Siswa'!D19=0,"",'Identitas Siswa'!D19)</f>
        <v/>
      </c>
      <c r="C20" s="168"/>
      <c r="D20" s="168"/>
      <c r="E20" s="168"/>
      <c r="F20" s="168"/>
      <c r="G20" s="168"/>
      <c r="H20" s="168"/>
      <c r="I20" s="168"/>
      <c r="J20" s="168"/>
      <c r="K20" s="168"/>
      <c r="L20" s="169"/>
    </row>
    <row r="21" spans="1:12" hidden="1" x14ac:dyDescent="0.25">
      <c r="A21" s="71">
        <f>'Identitas Siswa'!A20</f>
        <v>13</v>
      </c>
      <c r="B21" s="70" t="str">
        <f>IF('Identitas Siswa'!D20=0,"",'Identitas Siswa'!D20)</f>
        <v/>
      </c>
      <c r="C21" s="168"/>
      <c r="D21" s="168"/>
      <c r="E21" s="168"/>
      <c r="F21" s="168"/>
      <c r="G21" s="168"/>
      <c r="H21" s="168"/>
      <c r="I21" s="168"/>
      <c r="J21" s="168"/>
      <c r="K21" s="168"/>
      <c r="L21" s="169"/>
    </row>
    <row r="22" spans="1:12" hidden="1" x14ac:dyDescent="0.25">
      <c r="A22" s="71">
        <f>'Identitas Siswa'!A21</f>
        <v>14</v>
      </c>
      <c r="B22" s="70" t="str">
        <f>IF('Identitas Siswa'!D21=0,"",'Identitas Siswa'!D21)</f>
        <v/>
      </c>
      <c r="C22" s="168"/>
      <c r="D22" s="168"/>
      <c r="E22" s="168"/>
      <c r="F22" s="168"/>
      <c r="G22" s="168"/>
      <c r="H22" s="168"/>
      <c r="I22" s="168"/>
      <c r="J22" s="168"/>
      <c r="K22" s="168"/>
      <c r="L22" s="169"/>
    </row>
    <row r="23" spans="1:12" hidden="1" x14ac:dyDescent="0.25">
      <c r="A23" s="71">
        <f>'Identitas Siswa'!A22</f>
        <v>15</v>
      </c>
      <c r="B23" s="70" t="str">
        <f>IF('Identitas Siswa'!D22=0,"",'Identitas Siswa'!D22)</f>
        <v/>
      </c>
      <c r="C23" s="168"/>
      <c r="D23" s="168"/>
      <c r="E23" s="168"/>
      <c r="F23" s="168"/>
      <c r="G23" s="168"/>
      <c r="H23" s="168"/>
      <c r="I23" s="168"/>
      <c r="J23" s="168"/>
      <c r="K23" s="168"/>
      <c r="L23" s="169"/>
    </row>
    <row r="24" spans="1:12" hidden="1" x14ac:dyDescent="0.25">
      <c r="A24" s="71">
        <f>'Identitas Siswa'!A23</f>
        <v>16</v>
      </c>
      <c r="B24" s="70" t="str">
        <f>IF('Identitas Siswa'!D23=0,"",'Identitas Siswa'!D23)</f>
        <v/>
      </c>
      <c r="C24" s="168"/>
      <c r="D24" s="168"/>
      <c r="E24" s="168"/>
      <c r="F24" s="168"/>
      <c r="G24" s="168"/>
      <c r="H24" s="168"/>
      <c r="I24" s="168"/>
      <c r="J24" s="168"/>
      <c r="K24" s="168"/>
      <c r="L24" s="169"/>
    </row>
    <row r="25" spans="1:12" hidden="1" x14ac:dyDescent="0.25">
      <c r="A25" s="71">
        <f>'Identitas Siswa'!A24</f>
        <v>17</v>
      </c>
      <c r="B25" s="70" t="str">
        <f>IF('Identitas Siswa'!D24=0,"",'Identitas Siswa'!D24)</f>
        <v/>
      </c>
      <c r="C25" s="168"/>
      <c r="D25" s="168"/>
      <c r="E25" s="168"/>
      <c r="F25" s="168"/>
      <c r="G25" s="168"/>
      <c r="H25" s="168"/>
      <c r="I25" s="168"/>
      <c r="J25" s="168"/>
      <c r="K25" s="168"/>
      <c r="L25" s="169"/>
    </row>
    <row r="26" spans="1:12" hidden="1" x14ac:dyDescent="0.25">
      <c r="A26" s="71">
        <f>'Identitas Siswa'!A25</f>
        <v>18</v>
      </c>
      <c r="B26" s="70" t="str">
        <f>IF('Identitas Siswa'!D25=0,"",'Identitas Siswa'!D25)</f>
        <v/>
      </c>
      <c r="C26" s="168"/>
      <c r="D26" s="168"/>
      <c r="E26" s="168"/>
      <c r="F26" s="168"/>
      <c r="G26" s="168"/>
      <c r="H26" s="168"/>
      <c r="I26" s="168"/>
      <c r="J26" s="168"/>
      <c r="K26" s="168"/>
      <c r="L26" s="169"/>
    </row>
    <row r="27" spans="1:12" hidden="1" x14ac:dyDescent="0.25">
      <c r="A27" s="71">
        <f>'Identitas Siswa'!A26</f>
        <v>19</v>
      </c>
      <c r="B27" s="70" t="str">
        <f>IF('Identitas Siswa'!D26=0,"",'Identitas Siswa'!D26)</f>
        <v/>
      </c>
      <c r="C27" s="168"/>
      <c r="D27" s="168"/>
      <c r="E27" s="168"/>
      <c r="F27" s="168"/>
      <c r="G27" s="168"/>
      <c r="H27" s="168"/>
      <c r="I27" s="168"/>
      <c r="J27" s="168"/>
      <c r="K27" s="168"/>
      <c r="L27" s="169"/>
    </row>
    <row r="28" spans="1:12" hidden="1" x14ac:dyDescent="0.25">
      <c r="A28" s="71">
        <f>'Identitas Siswa'!A27</f>
        <v>20</v>
      </c>
      <c r="B28" s="70" t="str">
        <f>IF('Identitas Siswa'!D27=0,"",'Identitas Siswa'!D27)</f>
        <v/>
      </c>
      <c r="C28" s="168"/>
      <c r="D28" s="168"/>
      <c r="E28" s="168"/>
      <c r="F28" s="168"/>
      <c r="G28" s="168"/>
      <c r="H28" s="168"/>
      <c r="I28" s="168"/>
      <c r="J28" s="168"/>
      <c r="K28" s="168"/>
      <c r="L28" s="169"/>
    </row>
    <row r="29" spans="1:12" hidden="1" x14ac:dyDescent="0.25">
      <c r="A29" s="71">
        <f>'Identitas Siswa'!A28</f>
        <v>21</v>
      </c>
      <c r="B29" s="70" t="str">
        <f>IF('Identitas Siswa'!D28=0,"",'Identitas Siswa'!D28)</f>
        <v/>
      </c>
      <c r="C29" s="168"/>
      <c r="D29" s="168"/>
      <c r="E29" s="168"/>
      <c r="F29" s="168"/>
      <c r="G29" s="168"/>
      <c r="H29" s="168"/>
      <c r="I29" s="168"/>
      <c r="J29" s="168"/>
      <c r="K29" s="168"/>
      <c r="L29" s="169"/>
    </row>
    <row r="30" spans="1:12" hidden="1" x14ac:dyDescent="0.25">
      <c r="A30" s="71">
        <f>'Identitas Siswa'!A29</f>
        <v>22</v>
      </c>
      <c r="B30" s="70" t="str">
        <f>IF('Identitas Siswa'!D29=0,"",'Identitas Siswa'!D29)</f>
        <v/>
      </c>
      <c r="C30" s="168"/>
      <c r="D30" s="168"/>
      <c r="E30" s="168"/>
      <c r="F30" s="168"/>
      <c r="G30" s="168"/>
      <c r="H30" s="168"/>
      <c r="I30" s="168"/>
      <c r="J30" s="168"/>
      <c r="K30" s="168"/>
      <c r="L30" s="169"/>
    </row>
    <row r="31" spans="1:12" hidden="1" x14ac:dyDescent="0.25">
      <c r="A31" s="71">
        <f>'Identitas Siswa'!A30</f>
        <v>23</v>
      </c>
      <c r="B31" s="70" t="str">
        <f>IF('Identitas Siswa'!D30=0,"",'Identitas Siswa'!D30)</f>
        <v/>
      </c>
      <c r="C31" s="168"/>
      <c r="D31" s="168"/>
      <c r="E31" s="168"/>
      <c r="F31" s="168"/>
      <c r="G31" s="168"/>
      <c r="H31" s="168"/>
      <c r="I31" s="168"/>
      <c r="J31" s="168"/>
      <c r="K31" s="168"/>
      <c r="L31" s="169"/>
    </row>
    <row r="32" spans="1:12" hidden="1" x14ac:dyDescent="0.25">
      <c r="A32" s="71">
        <f>'Identitas Siswa'!A31</f>
        <v>24</v>
      </c>
      <c r="B32" s="70" t="str">
        <f>IF('Identitas Siswa'!D31=0,"",'Identitas Siswa'!D31)</f>
        <v/>
      </c>
      <c r="C32" s="168"/>
      <c r="D32" s="168"/>
      <c r="E32" s="168"/>
      <c r="F32" s="168"/>
      <c r="G32" s="168"/>
      <c r="H32" s="168"/>
      <c r="I32" s="168"/>
      <c r="J32" s="168"/>
      <c r="K32" s="168"/>
      <c r="L32" s="169"/>
    </row>
    <row r="33" spans="1:12" hidden="1" x14ac:dyDescent="0.25">
      <c r="A33" s="71">
        <f>'Identitas Siswa'!A32</f>
        <v>25</v>
      </c>
      <c r="B33" s="70" t="str">
        <f>IF('Identitas Siswa'!D32=0,"",'Identitas Siswa'!D32)</f>
        <v/>
      </c>
      <c r="C33" s="168"/>
      <c r="D33" s="168"/>
      <c r="E33" s="168"/>
      <c r="F33" s="168"/>
      <c r="G33" s="168"/>
      <c r="H33" s="168"/>
      <c r="I33" s="168"/>
      <c r="J33" s="168"/>
      <c r="K33" s="168"/>
      <c r="L33" s="169"/>
    </row>
    <row r="34" spans="1:12" hidden="1" x14ac:dyDescent="0.25">
      <c r="A34" s="71">
        <f>'Identitas Siswa'!A33</f>
        <v>26</v>
      </c>
      <c r="B34" s="70" t="str">
        <f>IF('Identitas Siswa'!D33=0,"",'Identitas Siswa'!D33)</f>
        <v/>
      </c>
      <c r="C34" s="168"/>
      <c r="D34" s="168"/>
      <c r="E34" s="168"/>
      <c r="F34" s="168"/>
      <c r="G34" s="168"/>
      <c r="H34" s="168"/>
      <c r="I34" s="168"/>
      <c r="J34" s="168"/>
      <c r="K34" s="168"/>
      <c r="L34" s="169"/>
    </row>
    <row r="35" spans="1:12" hidden="1" x14ac:dyDescent="0.25">
      <c r="A35" s="71">
        <f>'Identitas Siswa'!A34</f>
        <v>27</v>
      </c>
      <c r="B35" s="70" t="str">
        <f>IF('Identitas Siswa'!D34=0,"",'Identitas Siswa'!D34)</f>
        <v/>
      </c>
      <c r="C35" s="168"/>
      <c r="D35" s="168"/>
      <c r="E35" s="168"/>
      <c r="F35" s="168"/>
      <c r="G35" s="168"/>
      <c r="H35" s="168"/>
      <c r="I35" s="168"/>
      <c r="J35" s="168"/>
      <c r="K35" s="168"/>
      <c r="L35" s="169"/>
    </row>
    <row r="36" spans="1:12" hidden="1" x14ac:dyDescent="0.25">
      <c r="A36" s="71">
        <f>'Identitas Siswa'!A35</f>
        <v>28</v>
      </c>
      <c r="B36" s="70" t="str">
        <f>IF('Identitas Siswa'!D35=0,"",'Identitas Siswa'!D35)</f>
        <v/>
      </c>
      <c r="C36" s="168"/>
      <c r="D36" s="168"/>
      <c r="E36" s="168"/>
      <c r="F36" s="168"/>
      <c r="G36" s="168"/>
      <c r="H36" s="168"/>
      <c r="I36" s="168"/>
      <c r="J36" s="168"/>
      <c r="K36" s="168"/>
      <c r="L36" s="169"/>
    </row>
    <row r="37" spans="1:12" hidden="1" x14ac:dyDescent="0.25">
      <c r="A37" s="71">
        <f>'Identitas Siswa'!A36</f>
        <v>29</v>
      </c>
      <c r="B37" s="70" t="str">
        <f>IF('Identitas Siswa'!D36=0,"",'Identitas Siswa'!D36)</f>
        <v/>
      </c>
      <c r="C37" s="168"/>
      <c r="D37" s="168"/>
      <c r="E37" s="168"/>
      <c r="F37" s="168"/>
      <c r="G37" s="168"/>
      <c r="H37" s="168"/>
      <c r="I37" s="168"/>
      <c r="J37" s="168"/>
      <c r="K37" s="168"/>
      <c r="L37" s="169"/>
    </row>
    <row r="38" spans="1:12" hidden="1" x14ac:dyDescent="0.25">
      <c r="A38" s="71">
        <f>'Identitas Siswa'!A37</f>
        <v>30</v>
      </c>
      <c r="B38" s="70" t="str">
        <f>IF('Identitas Siswa'!D37=0,"",'Identitas Siswa'!D37)</f>
        <v/>
      </c>
      <c r="C38" s="168"/>
      <c r="D38" s="168"/>
      <c r="E38" s="168"/>
      <c r="F38" s="168"/>
      <c r="G38" s="168"/>
      <c r="H38" s="168"/>
      <c r="I38" s="168"/>
      <c r="J38" s="168"/>
      <c r="K38" s="168"/>
      <c r="L38" s="169"/>
    </row>
    <row r="39" spans="1:12" hidden="1" x14ac:dyDescent="0.25">
      <c r="A39" s="71">
        <f>'Identitas Siswa'!A38</f>
        <v>31</v>
      </c>
      <c r="B39" s="70" t="str">
        <f>IF('Identitas Siswa'!D38=0,"",'Identitas Siswa'!D38)</f>
        <v/>
      </c>
      <c r="C39" s="168"/>
      <c r="D39" s="168"/>
      <c r="E39" s="168"/>
      <c r="F39" s="168"/>
      <c r="G39" s="168"/>
      <c r="H39" s="168"/>
      <c r="I39" s="168"/>
      <c r="J39" s="168"/>
      <c r="K39" s="168"/>
      <c r="L39" s="169"/>
    </row>
    <row r="40" spans="1:12" hidden="1" x14ac:dyDescent="0.25">
      <c r="A40" s="71">
        <f>'Identitas Siswa'!A39</f>
        <v>32</v>
      </c>
      <c r="B40" s="70" t="str">
        <f>IF('Identitas Siswa'!D39=0,"",'Identitas Siswa'!D39)</f>
        <v/>
      </c>
      <c r="C40" s="168"/>
      <c r="D40" s="168"/>
      <c r="E40" s="168"/>
      <c r="F40" s="168"/>
      <c r="G40" s="168"/>
      <c r="H40" s="168"/>
      <c r="I40" s="168"/>
      <c r="J40" s="168"/>
      <c r="K40" s="168"/>
      <c r="L40" s="169"/>
    </row>
    <row r="41" spans="1:12" hidden="1" x14ac:dyDescent="0.25">
      <c r="A41" s="71">
        <f>'Identitas Siswa'!A40</f>
        <v>33</v>
      </c>
      <c r="B41" s="70" t="str">
        <f>IF('Identitas Siswa'!D40=0,"",'Identitas Siswa'!D40)</f>
        <v/>
      </c>
      <c r="C41" s="168"/>
      <c r="D41" s="168"/>
      <c r="E41" s="168"/>
      <c r="F41" s="168"/>
      <c r="G41" s="168"/>
      <c r="H41" s="168"/>
      <c r="I41" s="168"/>
      <c r="J41" s="168"/>
      <c r="K41" s="168"/>
      <c r="L41" s="169"/>
    </row>
    <row r="42" spans="1:12" hidden="1" x14ac:dyDescent="0.25">
      <c r="A42" s="71">
        <f>'Identitas Siswa'!A41</f>
        <v>34</v>
      </c>
      <c r="B42" s="70" t="str">
        <f>IF('Identitas Siswa'!D41=0,"",'Identitas Siswa'!D41)</f>
        <v/>
      </c>
      <c r="C42" s="168"/>
      <c r="D42" s="168"/>
      <c r="E42" s="168"/>
      <c r="F42" s="168"/>
      <c r="G42" s="168"/>
      <c r="H42" s="168"/>
      <c r="I42" s="168"/>
      <c r="J42" s="168"/>
      <c r="K42" s="168"/>
      <c r="L42" s="169"/>
    </row>
    <row r="43" spans="1:12" hidden="1" x14ac:dyDescent="0.25">
      <c r="A43" s="71">
        <f>'Identitas Siswa'!A42</f>
        <v>35</v>
      </c>
      <c r="B43" s="70" t="str">
        <f>IF('Identitas Siswa'!D42=0,"",'Identitas Siswa'!D42)</f>
        <v/>
      </c>
      <c r="C43" s="168"/>
      <c r="D43" s="168"/>
      <c r="E43" s="168"/>
      <c r="F43" s="168"/>
      <c r="G43" s="168"/>
      <c r="H43" s="168"/>
      <c r="I43" s="168"/>
      <c r="J43" s="168"/>
      <c r="K43" s="168"/>
      <c r="L43" s="169"/>
    </row>
    <row r="44" spans="1:12" hidden="1" x14ac:dyDescent="0.25">
      <c r="A44" s="71">
        <f>'Identitas Siswa'!A43</f>
        <v>36</v>
      </c>
      <c r="B44" s="70" t="str">
        <f>IF('Identitas Siswa'!D43=0,"",'Identitas Siswa'!D43)</f>
        <v/>
      </c>
      <c r="C44" s="168"/>
      <c r="D44" s="168"/>
      <c r="E44" s="168"/>
      <c r="F44" s="168"/>
      <c r="G44" s="168"/>
      <c r="H44" s="168"/>
      <c r="I44" s="168"/>
      <c r="J44" s="168"/>
      <c r="K44" s="168"/>
      <c r="L44" s="169"/>
    </row>
    <row r="45" spans="1:12" hidden="1" x14ac:dyDescent="0.25">
      <c r="A45" s="71">
        <f>'Identitas Siswa'!A44</f>
        <v>37</v>
      </c>
      <c r="B45" s="70" t="str">
        <f>IF('Identitas Siswa'!D44=0,"",'Identitas Siswa'!D44)</f>
        <v/>
      </c>
      <c r="C45" s="168"/>
      <c r="D45" s="168"/>
      <c r="E45" s="168"/>
      <c r="F45" s="168"/>
      <c r="G45" s="168"/>
      <c r="H45" s="168"/>
      <c r="I45" s="168"/>
      <c r="J45" s="168"/>
      <c r="K45" s="168"/>
      <c r="L45" s="169"/>
    </row>
    <row r="46" spans="1:12" hidden="1" x14ac:dyDescent="0.25">
      <c r="A46" s="71">
        <f>'Identitas Siswa'!A45</f>
        <v>38</v>
      </c>
      <c r="B46" s="70" t="str">
        <f>IF('Identitas Siswa'!D45=0,"",'Identitas Siswa'!D45)</f>
        <v/>
      </c>
      <c r="C46" s="168"/>
      <c r="D46" s="168"/>
      <c r="E46" s="168"/>
      <c r="F46" s="168"/>
      <c r="G46" s="168"/>
      <c r="H46" s="168"/>
      <c r="I46" s="168"/>
      <c r="J46" s="168"/>
      <c r="K46" s="168"/>
      <c r="L46" s="169"/>
    </row>
    <row r="47" spans="1:12" hidden="1" x14ac:dyDescent="0.25">
      <c r="A47" s="71">
        <f>'Identitas Siswa'!A46</f>
        <v>39</v>
      </c>
      <c r="B47" s="70" t="str">
        <f>IF('Identitas Siswa'!D46=0,"",'Identitas Siswa'!D46)</f>
        <v/>
      </c>
      <c r="C47" s="168"/>
      <c r="D47" s="168"/>
      <c r="E47" s="168"/>
      <c r="F47" s="168"/>
      <c r="G47" s="168"/>
      <c r="H47" s="168"/>
      <c r="I47" s="168"/>
      <c r="J47" s="168"/>
      <c r="K47" s="168"/>
      <c r="L47" s="169"/>
    </row>
    <row r="48" spans="1:12" hidden="1" x14ac:dyDescent="0.25">
      <c r="A48" s="71">
        <f>'Identitas Siswa'!A47</f>
        <v>40</v>
      </c>
      <c r="B48" s="70" t="str">
        <f>IF('Identitas Siswa'!D47=0,"",'Identitas Siswa'!D47)</f>
        <v/>
      </c>
      <c r="C48" s="168"/>
      <c r="D48" s="168"/>
      <c r="E48" s="168"/>
      <c r="F48" s="168"/>
      <c r="G48" s="168"/>
      <c r="H48" s="168"/>
      <c r="I48" s="168"/>
      <c r="J48" s="168"/>
      <c r="K48" s="168"/>
      <c r="L48" s="169"/>
    </row>
    <row r="49" spans="1:12" hidden="1" x14ac:dyDescent="0.25">
      <c r="A49" s="71">
        <f>'Identitas Siswa'!A48</f>
        <v>41</v>
      </c>
      <c r="B49" s="70" t="str">
        <f>IF('Identitas Siswa'!D48=0,"",'Identitas Siswa'!D48)</f>
        <v/>
      </c>
      <c r="C49" s="168"/>
      <c r="D49" s="168"/>
      <c r="E49" s="168"/>
      <c r="F49" s="168"/>
      <c r="G49" s="168"/>
      <c r="H49" s="168"/>
      <c r="I49" s="168"/>
      <c r="J49" s="168"/>
      <c r="K49" s="168"/>
      <c r="L49" s="169"/>
    </row>
    <row r="50" spans="1:12" hidden="1" x14ac:dyDescent="0.25">
      <c r="A50" s="71">
        <f>'Identitas Siswa'!A49</f>
        <v>42</v>
      </c>
      <c r="B50" s="70" t="str">
        <f>IF('Identitas Siswa'!D49=0,"",'Identitas Siswa'!D49)</f>
        <v/>
      </c>
      <c r="C50" s="168"/>
      <c r="D50" s="168"/>
      <c r="E50" s="168"/>
      <c r="F50" s="168"/>
      <c r="G50" s="168"/>
      <c r="H50" s="168"/>
      <c r="I50" s="168"/>
      <c r="J50" s="168"/>
      <c r="K50" s="168"/>
      <c r="L50" s="169"/>
    </row>
    <row r="51" spans="1:12" hidden="1" x14ac:dyDescent="0.25">
      <c r="A51" s="71">
        <f>'Identitas Siswa'!A50</f>
        <v>43</v>
      </c>
      <c r="B51" s="70" t="str">
        <f>IF('Identitas Siswa'!D50=0,"",'Identitas Siswa'!D50)</f>
        <v/>
      </c>
      <c r="C51" s="168"/>
      <c r="D51" s="168"/>
      <c r="E51" s="168"/>
      <c r="F51" s="168"/>
      <c r="G51" s="168"/>
      <c r="H51" s="168"/>
      <c r="I51" s="168"/>
      <c r="J51" s="168"/>
      <c r="K51" s="168"/>
      <c r="L51" s="169"/>
    </row>
    <row r="52" spans="1:12" hidden="1" x14ac:dyDescent="0.25">
      <c r="A52" s="71">
        <f>'Identitas Siswa'!A51</f>
        <v>44</v>
      </c>
      <c r="B52" s="70" t="str">
        <f>IF('Identitas Siswa'!D51=0,"",'Identitas Siswa'!D51)</f>
        <v/>
      </c>
      <c r="C52" s="168"/>
      <c r="D52" s="168"/>
      <c r="E52" s="168"/>
      <c r="F52" s="168"/>
      <c r="G52" s="168"/>
      <c r="H52" s="168"/>
      <c r="I52" s="168"/>
      <c r="J52" s="168"/>
      <c r="K52" s="168"/>
      <c r="L52" s="169"/>
    </row>
    <row r="53" spans="1:12" hidden="1" x14ac:dyDescent="0.25">
      <c r="A53" s="71">
        <f>'Identitas Siswa'!A52</f>
        <v>45</v>
      </c>
      <c r="B53" s="70" t="str">
        <f>IF('Identitas Siswa'!D52=0,"",'Identitas Siswa'!D52)</f>
        <v/>
      </c>
      <c r="C53" s="168"/>
      <c r="D53" s="168"/>
      <c r="E53" s="168"/>
      <c r="F53" s="168"/>
      <c r="G53" s="168"/>
      <c r="H53" s="168"/>
      <c r="I53" s="168"/>
      <c r="J53" s="168"/>
      <c r="K53" s="168"/>
      <c r="L53" s="169"/>
    </row>
    <row r="54" spans="1:12" hidden="1" x14ac:dyDescent="0.25">
      <c r="A54" s="71">
        <f>'Identitas Siswa'!A53</f>
        <v>46</v>
      </c>
      <c r="B54" s="70" t="str">
        <f>IF('Identitas Siswa'!D53=0,"",'Identitas Siswa'!D53)</f>
        <v/>
      </c>
      <c r="C54" s="168"/>
      <c r="D54" s="168"/>
      <c r="E54" s="168"/>
      <c r="F54" s="168"/>
      <c r="G54" s="168"/>
      <c r="H54" s="168"/>
      <c r="I54" s="168"/>
      <c r="J54" s="168"/>
      <c r="K54" s="168"/>
      <c r="L54" s="169"/>
    </row>
    <row r="55" spans="1:12" hidden="1" x14ac:dyDescent="0.25">
      <c r="A55" s="71">
        <f>'Identitas Siswa'!A54</f>
        <v>47</v>
      </c>
      <c r="B55" s="70" t="str">
        <f>IF('Identitas Siswa'!D54=0,"",'Identitas Siswa'!D54)</f>
        <v/>
      </c>
      <c r="C55" s="168"/>
      <c r="D55" s="168"/>
      <c r="E55" s="168"/>
      <c r="F55" s="168"/>
      <c r="G55" s="168"/>
      <c r="H55" s="168"/>
      <c r="I55" s="168"/>
      <c r="J55" s="168"/>
      <c r="K55" s="168"/>
      <c r="L55" s="169"/>
    </row>
    <row r="56" spans="1:12" hidden="1" x14ac:dyDescent="0.25">
      <c r="A56" s="71">
        <f>'Identitas Siswa'!A55</f>
        <v>48</v>
      </c>
      <c r="B56" s="70" t="str">
        <f>IF('Identitas Siswa'!D55=0,"",'Identitas Siswa'!D55)</f>
        <v/>
      </c>
      <c r="C56" s="168"/>
      <c r="D56" s="168"/>
      <c r="E56" s="168"/>
      <c r="F56" s="168"/>
      <c r="G56" s="168"/>
      <c r="H56" s="168"/>
      <c r="I56" s="168"/>
      <c r="J56" s="168"/>
      <c r="K56" s="168"/>
      <c r="L56" s="169"/>
    </row>
    <row r="57" spans="1:12" hidden="1" x14ac:dyDescent="0.25">
      <c r="A57" s="71">
        <f>'Identitas Siswa'!A56</f>
        <v>49</v>
      </c>
      <c r="B57" s="70" t="str">
        <f>IF('Identitas Siswa'!D56=0,"",'Identitas Siswa'!D56)</f>
        <v/>
      </c>
      <c r="C57" s="168"/>
      <c r="D57" s="168"/>
      <c r="E57" s="168"/>
      <c r="F57" s="168"/>
      <c r="G57" s="168"/>
      <c r="H57" s="168"/>
      <c r="I57" s="168"/>
      <c r="J57" s="168"/>
      <c r="K57" s="168"/>
      <c r="L57" s="169"/>
    </row>
    <row r="58" spans="1:12" hidden="1" x14ac:dyDescent="0.25">
      <c r="A58" s="71">
        <f>'Identitas Siswa'!A57</f>
        <v>50</v>
      </c>
      <c r="B58" s="70" t="str">
        <f>IF('Identitas Siswa'!D57=0,"",'Identitas Siswa'!D57)</f>
        <v/>
      </c>
      <c r="C58" s="168"/>
      <c r="D58" s="168"/>
      <c r="E58" s="168"/>
      <c r="F58" s="168"/>
      <c r="G58" s="168"/>
      <c r="H58" s="168"/>
      <c r="I58" s="168"/>
      <c r="J58" s="168"/>
      <c r="K58" s="168"/>
      <c r="L58" s="169"/>
    </row>
    <row r="59" spans="1:12" hidden="1" x14ac:dyDescent="0.25">
      <c r="A59" s="71">
        <f>'Identitas Siswa'!A58</f>
        <v>51</v>
      </c>
      <c r="B59" s="70" t="str">
        <f>IF('Identitas Siswa'!D58=0,"",'Identitas Siswa'!D58)</f>
        <v/>
      </c>
      <c r="C59" s="168"/>
      <c r="D59" s="168"/>
      <c r="E59" s="168"/>
      <c r="F59" s="168"/>
      <c r="G59" s="168"/>
      <c r="H59" s="168"/>
      <c r="I59" s="168"/>
      <c r="J59" s="168"/>
      <c r="K59" s="168"/>
      <c r="L59" s="169"/>
    </row>
    <row r="60" spans="1:12" hidden="1" x14ac:dyDescent="0.25">
      <c r="A60" s="71">
        <f>'Identitas Siswa'!A59</f>
        <v>52</v>
      </c>
      <c r="B60" s="70" t="str">
        <f>IF('Identitas Siswa'!D59=0,"",'Identitas Siswa'!D59)</f>
        <v/>
      </c>
      <c r="C60" s="168"/>
      <c r="D60" s="168"/>
      <c r="E60" s="168"/>
      <c r="F60" s="168"/>
      <c r="G60" s="168"/>
      <c r="H60" s="168"/>
      <c r="I60" s="168"/>
      <c r="J60" s="168"/>
      <c r="K60" s="168"/>
      <c r="L60" s="169"/>
    </row>
    <row r="61" spans="1:12" hidden="1" x14ac:dyDescent="0.25">
      <c r="A61" s="71">
        <f>'Identitas Siswa'!A60</f>
        <v>53</v>
      </c>
      <c r="B61" s="70" t="str">
        <f>IF('Identitas Siswa'!D60=0,"",'Identitas Siswa'!D60)</f>
        <v/>
      </c>
      <c r="C61" s="168"/>
      <c r="D61" s="168"/>
      <c r="E61" s="168"/>
      <c r="F61" s="168"/>
      <c r="G61" s="168"/>
      <c r="H61" s="168"/>
      <c r="I61" s="168"/>
      <c r="J61" s="168"/>
      <c r="K61" s="168"/>
      <c r="L61" s="169"/>
    </row>
    <row r="62" spans="1:12" hidden="1" x14ac:dyDescent="0.25">
      <c r="A62" s="71">
        <f>'Identitas Siswa'!A61</f>
        <v>54</v>
      </c>
      <c r="B62" s="70" t="str">
        <f>IF('Identitas Siswa'!D61=0,"",'Identitas Siswa'!D61)</f>
        <v/>
      </c>
      <c r="C62" s="168"/>
      <c r="D62" s="168"/>
      <c r="E62" s="168"/>
      <c r="F62" s="168"/>
      <c r="G62" s="168"/>
      <c r="H62" s="168"/>
      <c r="I62" s="168"/>
      <c r="J62" s="168"/>
      <c r="K62" s="168"/>
      <c r="L62" s="169"/>
    </row>
    <row r="63" spans="1:12" hidden="1" x14ac:dyDescent="0.25">
      <c r="A63" s="71">
        <f>'Identitas Siswa'!A62</f>
        <v>55</v>
      </c>
      <c r="B63" s="70" t="str">
        <f>IF('Identitas Siswa'!D62=0,"",'Identitas Siswa'!D62)</f>
        <v/>
      </c>
      <c r="C63" s="168"/>
      <c r="D63" s="168"/>
      <c r="E63" s="168"/>
      <c r="F63" s="168"/>
      <c r="G63" s="168"/>
      <c r="H63" s="168"/>
      <c r="I63" s="168"/>
      <c r="J63" s="168"/>
      <c r="K63" s="168"/>
      <c r="L63" s="169"/>
    </row>
    <row r="64" spans="1:12" hidden="1" x14ac:dyDescent="0.25">
      <c r="A64" s="71">
        <f>'Identitas Siswa'!A63</f>
        <v>56</v>
      </c>
      <c r="B64" s="70" t="str">
        <f>IF('Identitas Siswa'!D63=0,"",'Identitas Siswa'!D63)</f>
        <v/>
      </c>
      <c r="C64" s="168"/>
      <c r="D64" s="168"/>
      <c r="E64" s="168"/>
      <c r="F64" s="168"/>
      <c r="G64" s="168"/>
      <c r="H64" s="168"/>
      <c r="I64" s="168"/>
      <c r="J64" s="168"/>
      <c r="K64" s="168"/>
      <c r="L64" s="169"/>
    </row>
    <row r="65" spans="1:12" hidden="1" x14ac:dyDescent="0.25">
      <c r="A65" s="71">
        <f>'Identitas Siswa'!A64</f>
        <v>57</v>
      </c>
      <c r="B65" s="70" t="str">
        <f>IF('Identitas Siswa'!D64=0,"",'Identitas Siswa'!D64)</f>
        <v/>
      </c>
      <c r="C65" s="168"/>
      <c r="D65" s="168"/>
      <c r="E65" s="168"/>
      <c r="F65" s="168"/>
      <c r="G65" s="168"/>
      <c r="H65" s="168"/>
      <c r="I65" s="168"/>
      <c r="J65" s="168"/>
      <c r="K65" s="168"/>
      <c r="L65" s="169"/>
    </row>
    <row r="66" spans="1:12" hidden="1" x14ac:dyDescent="0.25">
      <c r="A66" s="71">
        <f>'Identitas Siswa'!A65</f>
        <v>58</v>
      </c>
      <c r="B66" s="70" t="str">
        <f>IF('Identitas Siswa'!D65=0,"",'Identitas Siswa'!D65)</f>
        <v/>
      </c>
      <c r="C66" s="168"/>
      <c r="D66" s="168"/>
      <c r="E66" s="168"/>
      <c r="F66" s="168"/>
      <c r="G66" s="168"/>
      <c r="H66" s="168"/>
      <c r="I66" s="168"/>
      <c r="J66" s="168"/>
      <c r="K66" s="168"/>
      <c r="L66" s="169"/>
    </row>
    <row r="67" spans="1:12" hidden="1" x14ac:dyDescent="0.25">
      <c r="A67" s="71">
        <f>'Identitas Siswa'!A66</f>
        <v>59</v>
      </c>
      <c r="B67" s="70" t="str">
        <f>IF('Identitas Siswa'!D66=0,"",'Identitas Siswa'!D66)</f>
        <v/>
      </c>
      <c r="C67" s="168"/>
      <c r="D67" s="168"/>
      <c r="E67" s="168"/>
      <c r="F67" s="168"/>
      <c r="G67" s="168"/>
      <c r="H67" s="168"/>
      <c r="I67" s="168"/>
      <c r="J67" s="168"/>
      <c r="K67" s="168"/>
      <c r="L67" s="169"/>
    </row>
    <row r="68" spans="1:12" ht="15.75" hidden="1" thickBot="1" x14ac:dyDescent="0.3">
      <c r="A68" s="72">
        <f>'Identitas Siswa'!A67</f>
        <v>60</v>
      </c>
      <c r="B68" s="73" t="str">
        <f>IF('Identitas Siswa'!D67=0,"",'Identitas Siswa'!D67)</f>
        <v/>
      </c>
      <c r="C68" s="170"/>
      <c r="D68" s="170"/>
      <c r="E68" s="170"/>
      <c r="F68" s="170"/>
      <c r="G68" s="170"/>
      <c r="H68" s="170"/>
      <c r="I68" s="170"/>
      <c r="J68" s="170"/>
      <c r="K68" s="170"/>
      <c r="L68" s="171"/>
    </row>
    <row r="69" spans="1:12" s="99" customFormat="1" x14ac:dyDescent="0.25"/>
  </sheetData>
  <sheetProtection sheet="1" objects="1" scenarios="1"/>
  <mergeCells count="8">
    <mergeCell ref="A6:A8"/>
    <mergeCell ref="B6:B8"/>
    <mergeCell ref="C7:D7"/>
    <mergeCell ref="C6:L6"/>
    <mergeCell ref="E7:F7"/>
    <mergeCell ref="G7:H7"/>
    <mergeCell ref="I7:J7"/>
    <mergeCell ref="K7:L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01" r:id="rId3" name="CommandButton1">
          <controlPr defaultSize="0" autoLine="0" r:id="rId4">
            <anchor moveWithCells="1">
              <from>
                <xdr:col>1</xdr:col>
                <xdr:colOff>66675</xdr:colOff>
                <xdr:row>0</xdr:row>
                <xdr:rowOff>152400</xdr:rowOff>
              </from>
              <to>
                <xdr:col>1</xdr:col>
                <xdr:colOff>1790700</xdr:colOff>
                <xdr:row>4</xdr:row>
                <xdr:rowOff>66675</xdr:rowOff>
              </to>
            </anchor>
          </controlPr>
        </control>
      </mc:Choice>
      <mc:Fallback>
        <control shapeId="51201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21308-2639-4F19-89B5-A10282E4B1FC}">
  <sheetPr codeName="Sheet23"/>
  <dimension ref="A1:D69"/>
  <sheetViews>
    <sheetView zoomScale="70" zoomScaleNormal="70" workbookViewId="0">
      <selection activeCell="C10" sqref="C10"/>
    </sheetView>
  </sheetViews>
  <sheetFormatPr defaultColWidth="0" defaultRowHeight="15" zeroHeight="1" x14ac:dyDescent="0.25"/>
  <cols>
    <col min="1" max="1" width="3.5703125" style="85" bestFit="1" customWidth="1"/>
    <col min="2" max="2" width="27.85546875" customWidth="1"/>
    <col min="3" max="3" width="53.85546875" customWidth="1"/>
    <col min="4" max="4" width="9.140625" style="15" customWidth="1"/>
    <col min="5" max="16384" width="9.140625" style="15" hidden="1"/>
  </cols>
  <sheetData>
    <row r="1" spans="1:3" x14ac:dyDescent="0.25">
      <c r="A1" s="100"/>
      <c r="B1" s="15"/>
      <c r="C1" s="15"/>
    </row>
    <row r="2" spans="1:3" x14ac:dyDescent="0.25">
      <c r="A2" s="100"/>
      <c r="B2" s="15"/>
      <c r="C2" s="15"/>
    </row>
    <row r="3" spans="1:3" x14ac:dyDescent="0.25">
      <c r="A3" s="100"/>
      <c r="B3" s="15"/>
      <c r="C3" s="15"/>
    </row>
    <row r="4" spans="1:3" x14ac:dyDescent="0.25">
      <c r="A4" s="100"/>
      <c r="B4" s="15"/>
      <c r="C4" s="15"/>
    </row>
    <row r="5" spans="1:3" x14ac:dyDescent="0.25">
      <c r="A5" s="100"/>
      <c r="B5" s="15"/>
      <c r="C5" s="15"/>
    </row>
    <row r="6" spans="1:3" x14ac:dyDescent="0.25">
      <c r="A6" s="100"/>
      <c r="B6" s="15"/>
      <c r="C6" s="15"/>
    </row>
    <row r="7" spans="1:3" ht="15.75" thickBot="1" x14ac:dyDescent="0.3">
      <c r="A7" s="100"/>
      <c r="B7" s="15"/>
      <c r="C7" s="15"/>
    </row>
    <row r="8" spans="1:3" ht="30" customHeight="1" x14ac:dyDescent="0.25">
      <c r="A8" s="74" t="s">
        <v>81</v>
      </c>
      <c r="B8" s="75" t="s">
        <v>64</v>
      </c>
      <c r="C8" s="76" t="s">
        <v>373</v>
      </c>
    </row>
    <row r="9" spans="1:3" x14ac:dyDescent="0.25">
      <c r="A9" s="28">
        <f>'Identitas Siswa'!A8</f>
        <v>1</v>
      </c>
      <c r="B9" s="70" t="str">
        <f>IF('Identitas Siswa'!D8=0,"",'Identitas Siswa'!D8)</f>
        <v>Abhy Arfa Ridho Hibatullah</v>
      </c>
      <c r="C9" s="169" t="s">
        <v>379</v>
      </c>
    </row>
    <row r="10" spans="1:3" x14ac:dyDescent="0.25">
      <c r="A10" s="28">
        <f>'Identitas Siswa'!A9</f>
        <v>2</v>
      </c>
      <c r="B10" s="70" t="str">
        <f>IF('Identitas Siswa'!D9=0,"",'Identitas Siswa'!D9)</f>
        <v>aku saja</v>
      </c>
      <c r="C10" s="169" t="s">
        <v>412</v>
      </c>
    </row>
    <row r="11" spans="1:3" x14ac:dyDescent="0.25">
      <c r="A11" s="28">
        <f>'Identitas Siswa'!A10</f>
        <v>3</v>
      </c>
      <c r="B11" s="70" t="str">
        <f>IF('Identitas Siswa'!D10=0,"",'Identitas Siswa'!D10)</f>
        <v/>
      </c>
      <c r="C11" s="169" t="s">
        <v>379</v>
      </c>
    </row>
    <row r="12" spans="1:3" hidden="1" x14ac:dyDescent="0.25">
      <c r="A12" s="28">
        <f>'Identitas Siswa'!A11</f>
        <v>4</v>
      </c>
      <c r="B12" s="70" t="str">
        <f>IF('Identitas Siswa'!D11=0,"",'Identitas Siswa'!D11)</f>
        <v/>
      </c>
      <c r="C12" s="169"/>
    </row>
    <row r="13" spans="1:3" hidden="1" x14ac:dyDescent="0.25">
      <c r="A13" s="28">
        <f>'Identitas Siswa'!A12</f>
        <v>5</v>
      </c>
      <c r="B13" s="70" t="str">
        <f>IF('Identitas Siswa'!D12=0,"",'Identitas Siswa'!D12)</f>
        <v/>
      </c>
      <c r="C13" s="169"/>
    </row>
    <row r="14" spans="1:3" hidden="1" x14ac:dyDescent="0.25">
      <c r="A14" s="28">
        <f>'Identitas Siswa'!A13</f>
        <v>6</v>
      </c>
      <c r="B14" s="70" t="str">
        <f>IF('Identitas Siswa'!D13=0,"",'Identitas Siswa'!D13)</f>
        <v/>
      </c>
      <c r="C14" s="169"/>
    </row>
    <row r="15" spans="1:3" hidden="1" x14ac:dyDescent="0.25">
      <c r="A15" s="28">
        <f>'Identitas Siswa'!A14</f>
        <v>7</v>
      </c>
      <c r="B15" s="70" t="str">
        <f>IF('Identitas Siswa'!D14=0,"",'Identitas Siswa'!D14)</f>
        <v/>
      </c>
      <c r="C15" s="169"/>
    </row>
    <row r="16" spans="1:3" hidden="1" x14ac:dyDescent="0.25">
      <c r="A16" s="28">
        <f>'Identitas Siswa'!A15</f>
        <v>8</v>
      </c>
      <c r="B16" s="70" t="str">
        <f>IF('Identitas Siswa'!D15=0,"",'Identitas Siswa'!D15)</f>
        <v/>
      </c>
      <c r="C16" s="169"/>
    </row>
    <row r="17" spans="1:3" hidden="1" x14ac:dyDescent="0.25">
      <c r="A17" s="28">
        <f>'Identitas Siswa'!A16</f>
        <v>9</v>
      </c>
      <c r="B17" s="70" t="str">
        <f>IF('Identitas Siswa'!D16=0,"",'Identitas Siswa'!D16)</f>
        <v/>
      </c>
      <c r="C17" s="169"/>
    </row>
    <row r="18" spans="1:3" hidden="1" x14ac:dyDescent="0.25">
      <c r="A18" s="28">
        <f>'Identitas Siswa'!A17</f>
        <v>10</v>
      </c>
      <c r="B18" s="70" t="str">
        <f>IF('Identitas Siswa'!D17=0,"",'Identitas Siswa'!D17)</f>
        <v/>
      </c>
      <c r="C18" s="169"/>
    </row>
    <row r="19" spans="1:3" hidden="1" x14ac:dyDescent="0.25">
      <c r="A19" s="28">
        <f>'Identitas Siswa'!A18</f>
        <v>11</v>
      </c>
      <c r="B19" s="70" t="str">
        <f>IF('Identitas Siswa'!D18=0,"",'Identitas Siswa'!D18)</f>
        <v/>
      </c>
      <c r="C19" s="169"/>
    </row>
    <row r="20" spans="1:3" hidden="1" x14ac:dyDescent="0.25">
      <c r="A20" s="28">
        <f>'Identitas Siswa'!A19</f>
        <v>12</v>
      </c>
      <c r="B20" s="70" t="str">
        <f>IF('Identitas Siswa'!D19=0,"",'Identitas Siswa'!D19)</f>
        <v/>
      </c>
      <c r="C20" s="169"/>
    </row>
    <row r="21" spans="1:3" hidden="1" x14ac:dyDescent="0.25">
      <c r="A21" s="28">
        <f>'Identitas Siswa'!A20</f>
        <v>13</v>
      </c>
      <c r="B21" s="70" t="str">
        <f>IF('Identitas Siswa'!D20=0,"",'Identitas Siswa'!D20)</f>
        <v/>
      </c>
      <c r="C21" s="169"/>
    </row>
    <row r="22" spans="1:3" hidden="1" x14ac:dyDescent="0.25">
      <c r="A22" s="28">
        <f>'Identitas Siswa'!A21</f>
        <v>14</v>
      </c>
      <c r="B22" s="70" t="str">
        <f>IF('Identitas Siswa'!D21=0,"",'Identitas Siswa'!D21)</f>
        <v/>
      </c>
      <c r="C22" s="169"/>
    </row>
    <row r="23" spans="1:3" hidden="1" x14ac:dyDescent="0.25">
      <c r="A23" s="28">
        <f>'Identitas Siswa'!A22</f>
        <v>15</v>
      </c>
      <c r="B23" s="70" t="str">
        <f>IF('Identitas Siswa'!D22=0,"",'Identitas Siswa'!D22)</f>
        <v/>
      </c>
      <c r="C23" s="169"/>
    </row>
    <row r="24" spans="1:3" hidden="1" x14ac:dyDescent="0.25">
      <c r="A24" s="28">
        <f>'Identitas Siswa'!A23</f>
        <v>16</v>
      </c>
      <c r="B24" s="70" t="str">
        <f>IF('Identitas Siswa'!D23=0,"",'Identitas Siswa'!D23)</f>
        <v/>
      </c>
      <c r="C24" s="169"/>
    </row>
    <row r="25" spans="1:3" hidden="1" x14ac:dyDescent="0.25">
      <c r="A25" s="28">
        <f>'Identitas Siswa'!A24</f>
        <v>17</v>
      </c>
      <c r="B25" s="70" t="str">
        <f>IF('Identitas Siswa'!D24=0,"",'Identitas Siswa'!D24)</f>
        <v/>
      </c>
      <c r="C25" s="169"/>
    </row>
    <row r="26" spans="1:3" hidden="1" x14ac:dyDescent="0.25">
      <c r="A26" s="28">
        <f>'Identitas Siswa'!A25</f>
        <v>18</v>
      </c>
      <c r="B26" s="70" t="str">
        <f>IF('Identitas Siswa'!D25=0,"",'Identitas Siswa'!D25)</f>
        <v/>
      </c>
      <c r="C26" s="169"/>
    </row>
    <row r="27" spans="1:3" hidden="1" x14ac:dyDescent="0.25">
      <c r="A27" s="28">
        <f>'Identitas Siswa'!A26</f>
        <v>19</v>
      </c>
      <c r="B27" s="70" t="str">
        <f>IF('Identitas Siswa'!D26=0,"",'Identitas Siswa'!D26)</f>
        <v/>
      </c>
      <c r="C27" s="169"/>
    </row>
    <row r="28" spans="1:3" hidden="1" x14ac:dyDescent="0.25">
      <c r="A28" s="28">
        <f>'Identitas Siswa'!A27</f>
        <v>20</v>
      </c>
      <c r="B28" s="70" t="str">
        <f>IF('Identitas Siswa'!D27=0,"",'Identitas Siswa'!D27)</f>
        <v/>
      </c>
      <c r="C28" s="169"/>
    </row>
    <row r="29" spans="1:3" hidden="1" x14ac:dyDescent="0.25">
      <c r="A29" s="28">
        <f>'Identitas Siswa'!A28</f>
        <v>21</v>
      </c>
      <c r="B29" s="70" t="str">
        <f>IF('Identitas Siswa'!D28=0,"",'Identitas Siswa'!D28)</f>
        <v/>
      </c>
      <c r="C29" s="169"/>
    </row>
    <row r="30" spans="1:3" hidden="1" x14ac:dyDescent="0.25">
      <c r="A30" s="28">
        <f>'Identitas Siswa'!A29</f>
        <v>22</v>
      </c>
      <c r="B30" s="70" t="str">
        <f>IF('Identitas Siswa'!D29=0,"",'Identitas Siswa'!D29)</f>
        <v/>
      </c>
      <c r="C30" s="169"/>
    </row>
    <row r="31" spans="1:3" hidden="1" x14ac:dyDescent="0.25">
      <c r="A31" s="28">
        <f>'Identitas Siswa'!A30</f>
        <v>23</v>
      </c>
      <c r="B31" s="70" t="str">
        <f>IF('Identitas Siswa'!D30=0,"",'Identitas Siswa'!D30)</f>
        <v/>
      </c>
      <c r="C31" s="169"/>
    </row>
    <row r="32" spans="1:3" hidden="1" x14ac:dyDescent="0.25">
      <c r="A32" s="28">
        <f>'Identitas Siswa'!A31</f>
        <v>24</v>
      </c>
      <c r="B32" s="70" t="str">
        <f>IF('Identitas Siswa'!D31=0,"",'Identitas Siswa'!D31)</f>
        <v/>
      </c>
      <c r="C32" s="169"/>
    </row>
    <row r="33" spans="1:3" hidden="1" x14ac:dyDescent="0.25">
      <c r="A33" s="28">
        <f>'Identitas Siswa'!A32</f>
        <v>25</v>
      </c>
      <c r="B33" s="70" t="str">
        <f>IF('Identitas Siswa'!D32=0,"",'Identitas Siswa'!D32)</f>
        <v/>
      </c>
      <c r="C33" s="169"/>
    </row>
    <row r="34" spans="1:3" hidden="1" x14ac:dyDescent="0.25">
      <c r="A34" s="28">
        <f>'Identitas Siswa'!A33</f>
        <v>26</v>
      </c>
      <c r="B34" s="70" t="str">
        <f>IF('Identitas Siswa'!D33=0,"",'Identitas Siswa'!D33)</f>
        <v/>
      </c>
      <c r="C34" s="169"/>
    </row>
    <row r="35" spans="1:3" hidden="1" x14ac:dyDescent="0.25">
      <c r="A35" s="28">
        <f>'Identitas Siswa'!A34</f>
        <v>27</v>
      </c>
      <c r="B35" s="70" t="str">
        <f>IF('Identitas Siswa'!D34=0,"",'Identitas Siswa'!D34)</f>
        <v/>
      </c>
      <c r="C35" s="169"/>
    </row>
    <row r="36" spans="1:3" hidden="1" x14ac:dyDescent="0.25">
      <c r="A36" s="28">
        <f>'Identitas Siswa'!A35</f>
        <v>28</v>
      </c>
      <c r="B36" s="70" t="str">
        <f>IF('Identitas Siswa'!D35=0,"",'Identitas Siswa'!D35)</f>
        <v/>
      </c>
      <c r="C36" s="169"/>
    </row>
    <row r="37" spans="1:3" hidden="1" x14ac:dyDescent="0.25">
      <c r="A37" s="28">
        <f>'Identitas Siswa'!A36</f>
        <v>29</v>
      </c>
      <c r="B37" s="70" t="str">
        <f>IF('Identitas Siswa'!D36=0,"",'Identitas Siswa'!D36)</f>
        <v/>
      </c>
      <c r="C37" s="169"/>
    </row>
    <row r="38" spans="1:3" hidden="1" x14ac:dyDescent="0.25">
      <c r="A38" s="28">
        <f>'Identitas Siswa'!A37</f>
        <v>30</v>
      </c>
      <c r="B38" s="70" t="str">
        <f>IF('Identitas Siswa'!D37=0,"",'Identitas Siswa'!D37)</f>
        <v/>
      </c>
      <c r="C38" s="169"/>
    </row>
    <row r="39" spans="1:3" hidden="1" x14ac:dyDescent="0.25">
      <c r="A39" s="28">
        <f>'Identitas Siswa'!A38</f>
        <v>31</v>
      </c>
      <c r="B39" s="70" t="str">
        <f>IF('Identitas Siswa'!D38=0,"",'Identitas Siswa'!D38)</f>
        <v/>
      </c>
      <c r="C39" s="169"/>
    </row>
    <row r="40" spans="1:3" hidden="1" x14ac:dyDescent="0.25">
      <c r="A40" s="28">
        <f>'Identitas Siswa'!A39</f>
        <v>32</v>
      </c>
      <c r="B40" s="70" t="str">
        <f>IF('Identitas Siswa'!D39=0,"",'Identitas Siswa'!D39)</f>
        <v/>
      </c>
      <c r="C40" s="169"/>
    </row>
    <row r="41" spans="1:3" hidden="1" x14ac:dyDescent="0.25">
      <c r="A41" s="28">
        <f>'Identitas Siswa'!A40</f>
        <v>33</v>
      </c>
      <c r="B41" s="70" t="str">
        <f>IF('Identitas Siswa'!D40=0,"",'Identitas Siswa'!D40)</f>
        <v/>
      </c>
      <c r="C41" s="169"/>
    </row>
    <row r="42" spans="1:3" hidden="1" x14ac:dyDescent="0.25">
      <c r="A42" s="28">
        <f>'Identitas Siswa'!A41</f>
        <v>34</v>
      </c>
      <c r="B42" s="70" t="str">
        <f>IF('Identitas Siswa'!D41=0,"",'Identitas Siswa'!D41)</f>
        <v/>
      </c>
      <c r="C42" s="169"/>
    </row>
    <row r="43" spans="1:3" hidden="1" x14ac:dyDescent="0.25">
      <c r="A43" s="28">
        <f>'Identitas Siswa'!A42</f>
        <v>35</v>
      </c>
      <c r="B43" s="70" t="str">
        <f>IF('Identitas Siswa'!D42=0,"",'Identitas Siswa'!D42)</f>
        <v/>
      </c>
      <c r="C43" s="169"/>
    </row>
    <row r="44" spans="1:3" hidden="1" x14ac:dyDescent="0.25">
      <c r="A44" s="28">
        <f>'Identitas Siswa'!A43</f>
        <v>36</v>
      </c>
      <c r="B44" s="70" t="str">
        <f>IF('Identitas Siswa'!D43=0,"",'Identitas Siswa'!D43)</f>
        <v/>
      </c>
      <c r="C44" s="169"/>
    </row>
    <row r="45" spans="1:3" hidden="1" x14ac:dyDescent="0.25">
      <c r="A45" s="28">
        <f>'Identitas Siswa'!A44</f>
        <v>37</v>
      </c>
      <c r="B45" s="70" t="str">
        <f>IF('Identitas Siswa'!D44=0,"",'Identitas Siswa'!D44)</f>
        <v/>
      </c>
      <c r="C45" s="169"/>
    </row>
    <row r="46" spans="1:3" hidden="1" x14ac:dyDescent="0.25">
      <c r="A46" s="28">
        <f>'Identitas Siswa'!A45</f>
        <v>38</v>
      </c>
      <c r="B46" s="70" t="str">
        <f>IF('Identitas Siswa'!D45=0,"",'Identitas Siswa'!D45)</f>
        <v/>
      </c>
      <c r="C46" s="169"/>
    </row>
    <row r="47" spans="1:3" hidden="1" x14ac:dyDescent="0.25">
      <c r="A47" s="28">
        <f>'Identitas Siswa'!A46</f>
        <v>39</v>
      </c>
      <c r="B47" s="70" t="str">
        <f>IF('Identitas Siswa'!D46=0,"",'Identitas Siswa'!D46)</f>
        <v/>
      </c>
      <c r="C47" s="169"/>
    </row>
    <row r="48" spans="1:3" hidden="1" x14ac:dyDescent="0.25">
      <c r="A48" s="28">
        <f>'Identitas Siswa'!A47</f>
        <v>40</v>
      </c>
      <c r="B48" s="70" t="str">
        <f>IF('Identitas Siswa'!D47=0,"",'Identitas Siswa'!D47)</f>
        <v/>
      </c>
      <c r="C48" s="169"/>
    </row>
    <row r="49" spans="1:3" hidden="1" x14ac:dyDescent="0.25">
      <c r="A49" s="28">
        <f>'Identitas Siswa'!A48</f>
        <v>41</v>
      </c>
      <c r="B49" s="70" t="str">
        <f>IF('Identitas Siswa'!D48=0,"",'Identitas Siswa'!D48)</f>
        <v/>
      </c>
      <c r="C49" s="169"/>
    </row>
    <row r="50" spans="1:3" hidden="1" x14ac:dyDescent="0.25">
      <c r="A50" s="28">
        <f>'Identitas Siswa'!A49</f>
        <v>42</v>
      </c>
      <c r="B50" s="70" t="str">
        <f>IF('Identitas Siswa'!D49=0,"",'Identitas Siswa'!D49)</f>
        <v/>
      </c>
      <c r="C50" s="169"/>
    </row>
    <row r="51" spans="1:3" hidden="1" x14ac:dyDescent="0.25">
      <c r="A51" s="28">
        <f>'Identitas Siswa'!A50</f>
        <v>43</v>
      </c>
      <c r="B51" s="70" t="str">
        <f>IF('Identitas Siswa'!D50=0,"",'Identitas Siswa'!D50)</f>
        <v/>
      </c>
      <c r="C51" s="169"/>
    </row>
    <row r="52" spans="1:3" hidden="1" x14ac:dyDescent="0.25">
      <c r="A52" s="28">
        <f>'Identitas Siswa'!A51</f>
        <v>44</v>
      </c>
      <c r="B52" s="70" t="str">
        <f>IF('Identitas Siswa'!D51=0,"",'Identitas Siswa'!D51)</f>
        <v/>
      </c>
      <c r="C52" s="169"/>
    </row>
    <row r="53" spans="1:3" hidden="1" x14ac:dyDescent="0.25">
      <c r="A53" s="28">
        <f>'Identitas Siswa'!A52</f>
        <v>45</v>
      </c>
      <c r="B53" s="70" t="str">
        <f>IF('Identitas Siswa'!D52=0,"",'Identitas Siswa'!D52)</f>
        <v/>
      </c>
      <c r="C53" s="169"/>
    </row>
    <row r="54" spans="1:3" hidden="1" x14ac:dyDescent="0.25">
      <c r="A54" s="28">
        <f>'Identitas Siswa'!A53</f>
        <v>46</v>
      </c>
      <c r="B54" s="70" t="str">
        <f>IF('Identitas Siswa'!D53=0,"",'Identitas Siswa'!D53)</f>
        <v/>
      </c>
      <c r="C54" s="169"/>
    </row>
    <row r="55" spans="1:3" hidden="1" x14ac:dyDescent="0.25">
      <c r="A55" s="28">
        <f>'Identitas Siswa'!A54</f>
        <v>47</v>
      </c>
      <c r="B55" s="70" t="str">
        <f>IF('Identitas Siswa'!D54=0,"",'Identitas Siswa'!D54)</f>
        <v/>
      </c>
      <c r="C55" s="169"/>
    </row>
    <row r="56" spans="1:3" hidden="1" x14ac:dyDescent="0.25">
      <c r="A56" s="28">
        <f>'Identitas Siswa'!A55</f>
        <v>48</v>
      </c>
      <c r="B56" s="70" t="str">
        <f>IF('Identitas Siswa'!D55=0,"",'Identitas Siswa'!D55)</f>
        <v/>
      </c>
      <c r="C56" s="169"/>
    </row>
    <row r="57" spans="1:3" hidden="1" x14ac:dyDescent="0.25">
      <c r="A57" s="28">
        <f>'Identitas Siswa'!A56</f>
        <v>49</v>
      </c>
      <c r="B57" s="70" t="str">
        <f>IF('Identitas Siswa'!D56=0,"",'Identitas Siswa'!D56)</f>
        <v/>
      </c>
      <c r="C57" s="169"/>
    </row>
    <row r="58" spans="1:3" hidden="1" x14ac:dyDescent="0.25">
      <c r="A58" s="28">
        <f>'Identitas Siswa'!A57</f>
        <v>50</v>
      </c>
      <c r="B58" s="70" t="str">
        <f>IF('Identitas Siswa'!D57=0,"",'Identitas Siswa'!D57)</f>
        <v/>
      </c>
      <c r="C58" s="169"/>
    </row>
    <row r="59" spans="1:3" hidden="1" x14ac:dyDescent="0.25">
      <c r="A59" s="28">
        <f>'Identitas Siswa'!A58</f>
        <v>51</v>
      </c>
      <c r="B59" s="70" t="str">
        <f>IF('Identitas Siswa'!D58=0,"",'Identitas Siswa'!D58)</f>
        <v/>
      </c>
      <c r="C59" s="169"/>
    </row>
    <row r="60" spans="1:3" hidden="1" x14ac:dyDescent="0.25">
      <c r="A60" s="28">
        <f>'Identitas Siswa'!A59</f>
        <v>52</v>
      </c>
      <c r="B60" s="70" t="str">
        <f>IF('Identitas Siswa'!D59=0,"",'Identitas Siswa'!D59)</f>
        <v/>
      </c>
      <c r="C60" s="169"/>
    </row>
    <row r="61" spans="1:3" hidden="1" x14ac:dyDescent="0.25">
      <c r="A61" s="28">
        <f>'Identitas Siswa'!A60</f>
        <v>53</v>
      </c>
      <c r="B61" s="70" t="str">
        <f>IF('Identitas Siswa'!D60=0,"",'Identitas Siswa'!D60)</f>
        <v/>
      </c>
      <c r="C61" s="169"/>
    </row>
    <row r="62" spans="1:3" hidden="1" x14ac:dyDescent="0.25">
      <c r="A62" s="28">
        <f>'Identitas Siswa'!A61</f>
        <v>54</v>
      </c>
      <c r="B62" s="70" t="str">
        <f>IF('Identitas Siswa'!D61=0,"",'Identitas Siswa'!D61)</f>
        <v/>
      </c>
      <c r="C62" s="169"/>
    </row>
    <row r="63" spans="1:3" hidden="1" x14ac:dyDescent="0.25">
      <c r="A63" s="28">
        <f>'Identitas Siswa'!A62</f>
        <v>55</v>
      </c>
      <c r="B63" s="70" t="str">
        <f>IF('Identitas Siswa'!D62=0,"",'Identitas Siswa'!D62)</f>
        <v/>
      </c>
      <c r="C63" s="169"/>
    </row>
    <row r="64" spans="1:3" hidden="1" x14ac:dyDescent="0.25">
      <c r="A64" s="28">
        <f>'Identitas Siswa'!A63</f>
        <v>56</v>
      </c>
      <c r="B64" s="70" t="str">
        <f>IF('Identitas Siswa'!D63=0,"",'Identitas Siswa'!D63)</f>
        <v/>
      </c>
      <c r="C64" s="169"/>
    </row>
    <row r="65" spans="1:3" hidden="1" x14ac:dyDescent="0.25">
      <c r="A65" s="28">
        <f>'Identitas Siswa'!A64</f>
        <v>57</v>
      </c>
      <c r="B65" s="70" t="str">
        <f>IF('Identitas Siswa'!D64=0,"",'Identitas Siswa'!D64)</f>
        <v/>
      </c>
      <c r="C65" s="169"/>
    </row>
    <row r="66" spans="1:3" hidden="1" x14ac:dyDescent="0.25">
      <c r="A66" s="28">
        <f>'Identitas Siswa'!A65</f>
        <v>58</v>
      </c>
      <c r="B66" s="70" t="str">
        <f>IF('Identitas Siswa'!D65=0,"",'Identitas Siswa'!D65)</f>
        <v/>
      </c>
      <c r="C66" s="169"/>
    </row>
    <row r="67" spans="1:3" hidden="1" x14ac:dyDescent="0.25">
      <c r="A67" s="28">
        <f>'Identitas Siswa'!A66</f>
        <v>59</v>
      </c>
      <c r="B67" s="70" t="str">
        <f>IF('Identitas Siswa'!D66=0,"",'Identitas Siswa'!D66)</f>
        <v/>
      </c>
      <c r="C67" s="169"/>
    </row>
    <row r="68" spans="1:3" ht="15.75" hidden="1" thickBot="1" x14ac:dyDescent="0.3">
      <c r="A68" s="83">
        <f>'Identitas Siswa'!A67</f>
        <v>60</v>
      </c>
      <c r="B68" s="73" t="str">
        <f>IF('Identitas Siswa'!D67=0,"",'Identitas Siswa'!D67)</f>
        <v/>
      </c>
      <c r="C68" s="171"/>
    </row>
    <row r="69" spans="1:3" x14ac:dyDescent="0.25">
      <c r="A69" s="100"/>
      <c r="B69" s="15"/>
      <c r="C69" s="15"/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5" r:id="rId3" name="CommandButton1">
          <controlPr defaultSize="0" autoLine="0" r:id="rId4">
            <anchor moveWithCells="1">
              <from>
                <xdr:col>1</xdr:col>
                <xdr:colOff>66675</xdr:colOff>
                <xdr:row>1</xdr:row>
                <xdr:rowOff>171450</xdr:rowOff>
              </from>
              <to>
                <xdr:col>1</xdr:col>
                <xdr:colOff>1790700</xdr:colOff>
                <xdr:row>5</xdr:row>
                <xdr:rowOff>85725</xdr:rowOff>
              </to>
            </anchor>
          </controlPr>
        </control>
      </mc:Choice>
      <mc:Fallback>
        <control shapeId="5222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0359-C64A-489E-AFCD-E31E962A4BBF}">
  <sheetPr codeName="Sheet24"/>
  <dimension ref="A1:F69"/>
  <sheetViews>
    <sheetView workbookViewId="0">
      <selection activeCell="C9" sqref="C9:E68"/>
    </sheetView>
  </sheetViews>
  <sheetFormatPr defaultColWidth="0" defaultRowHeight="15" zeroHeight="1" x14ac:dyDescent="0.25"/>
  <cols>
    <col min="1" max="1" width="3.5703125" bestFit="1" customWidth="1"/>
    <col min="2" max="2" width="27.28515625" customWidth="1"/>
    <col min="3" max="3" width="7.5703125" customWidth="1"/>
    <col min="4" max="4" width="7" customWidth="1"/>
    <col min="5" max="5" width="11.140625" customWidth="1"/>
    <col min="6" max="6" width="9.140625" style="15" customWidth="1"/>
    <col min="7" max="16384" width="9.140625" hidden="1"/>
  </cols>
  <sheetData>
    <row r="1" spans="1:5" s="15" customFormat="1" x14ac:dyDescent="0.25"/>
    <row r="2" spans="1:5" s="15" customFormat="1" x14ac:dyDescent="0.25"/>
    <row r="3" spans="1:5" s="15" customFormat="1" x14ac:dyDescent="0.25"/>
    <row r="4" spans="1:5" s="15" customFormat="1" x14ac:dyDescent="0.25"/>
    <row r="5" spans="1:5" s="15" customFormat="1" x14ac:dyDescent="0.25"/>
    <row r="6" spans="1:5" s="15" customFormat="1" ht="15.75" thickBot="1" x14ac:dyDescent="0.3"/>
    <row r="7" spans="1:5" x14ac:dyDescent="0.25">
      <c r="A7" s="292" t="s">
        <v>81</v>
      </c>
      <c r="B7" s="294" t="s">
        <v>64</v>
      </c>
      <c r="C7" s="294" t="s">
        <v>377</v>
      </c>
      <c r="D7" s="294"/>
      <c r="E7" s="295"/>
    </row>
    <row r="8" spans="1:5" ht="24" x14ac:dyDescent="0.25">
      <c r="A8" s="293"/>
      <c r="B8" s="266"/>
      <c r="C8" s="52" t="s">
        <v>374</v>
      </c>
      <c r="D8" s="52" t="s">
        <v>375</v>
      </c>
      <c r="E8" s="79" t="s">
        <v>376</v>
      </c>
    </row>
    <row r="9" spans="1:5" x14ac:dyDescent="0.25">
      <c r="A9" s="71">
        <f>'Identitas Siswa'!A8</f>
        <v>1</v>
      </c>
      <c r="B9" s="70" t="str">
        <f>IF('Identitas Siswa'!D8=0,"",'Identitas Siswa'!D8)</f>
        <v>Abhy Arfa Ridho Hibatullah</v>
      </c>
      <c r="C9" s="165">
        <v>2</v>
      </c>
      <c r="D9" s="165">
        <v>1</v>
      </c>
      <c r="E9" s="172">
        <v>0</v>
      </c>
    </row>
    <row r="10" spans="1:5" x14ac:dyDescent="0.25">
      <c r="A10" s="71">
        <f>'Identitas Siswa'!A9</f>
        <v>2</v>
      </c>
      <c r="B10" s="70" t="str">
        <f>IF('Identitas Siswa'!D9=0,"",'Identitas Siswa'!D9)</f>
        <v>aku saja</v>
      </c>
      <c r="C10" s="165">
        <v>1</v>
      </c>
      <c r="D10" s="165">
        <v>2</v>
      </c>
      <c r="E10" s="172">
        <v>0</v>
      </c>
    </row>
    <row r="11" spans="1:5" x14ac:dyDescent="0.25">
      <c r="A11" s="71">
        <f>'Identitas Siswa'!A10</f>
        <v>3</v>
      </c>
      <c r="B11" s="70" t="str">
        <f>IF('Identitas Siswa'!D10=0,"",'Identitas Siswa'!D10)</f>
        <v/>
      </c>
      <c r="C11" s="165">
        <v>1</v>
      </c>
      <c r="D11" s="165">
        <v>1</v>
      </c>
      <c r="E11" s="172">
        <v>1</v>
      </c>
    </row>
    <row r="12" spans="1:5" hidden="1" x14ac:dyDescent="0.25">
      <c r="A12" s="71">
        <f>'Identitas Siswa'!A11</f>
        <v>4</v>
      </c>
      <c r="B12" s="70" t="str">
        <f>IF('Identitas Siswa'!D11=0,"",'Identitas Siswa'!D11)</f>
        <v/>
      </c>
      <c r="C12" s="165"/>
      <c r="D12" s="165"/>
      <c r="E12" s="172"/>
    </row>
    <row r="13" spans="1:5" hidden="1" x14ac:dyDescent="0.25">
      <c r="A13" s="71">
        <f>'Identitas Siswa'!A12</f>
        <v>5</v>
      </c>
      <c r="B13" s="70" t="str">
        <f>IF('Identitas Siswa'!D12=0,"",'Identitas Siswa'!D12)</f>
        <v/>
      </c>
      <c r="C13" s="165"/>
      <c r="D13" s="165"/>
      <c r="E13" s="172"/>
    </row>
    <row r="14" spans="1:5" hidden="1" x14ac:dyDescent="0.25">
      <c r="A14" s="71">
        <f>'Identitas Siswa'!A13</f>
        <v>6</v>
      </c>
      <c r="B14" s="70" t="str">
        <f>IF('Identitas Siswa'!D13=0,"",'Identitas Siswa'!D13)</f>
        <v/>
      </c>
      <c r="C14" s="165"/>
      <c r="D14" s="165"/>
      <c r="E14" s="172"/>
    </row>
    <row r="15" spans="1:5" hidden="1" x14ac:dyDescent="0.25">
      <c r="A15" s="71">
        <f>'Identitas Siswa'!A14</f>
        <v>7</v>
      </c>
      <c r="B15" s="70" t="str">
        <f>IF('Identitas Siswa'!D14=0,"",'Identitas Siswa'!D14)</f>
        <v/>
      </c>
      <c r="C15" s="165"/>
      <c r="D15" s="165"/>
      <c r="E15" s="172"/>
    </row>
    <row r="16" spans="1:5" hidden="1" x14ac:dyDescent="0.25">
      <c r="A16" s="71">
        <f>'Identitas Siswa'!A15</f>
        <v>8</v>
      </c>
      <c r="B16" s="70" t="str">
        <f>IF('Identitas Siswa'!D15=0,"",'Identitas Siswa'!D15)</f>
        <v/>
      </c>
      <c r="C16" s="165"/>
      <c r="D16" s="165"/>
      <c r="E16" s="172"/>
    </row>
    <row r="17" spans="1:5" hidden="1" x14ac:dyDescent="0.25">
      <c r="A17" s="71">
        <f>'Identitas Siswa'!A16</f>
        <v>9</v>
      </c>
      <c r="B17" s="70" t="str">
        <f>IF('Identitas Siswa'!D16=0,"",'Identitas Siswa'!D16)</f>
        <v/>
      </c>
      <c r="C17" s="165"/>
      <c r="D17" s="165"/>
      <c r="E17" s="172"/>
    </row>
    <row r="18" spans="1:5" hidden="1" x14ac:dyDescent="0.25">
      <c r="A18" s="71">
        <f>'Identitas Siswa'!A17</f>
        <v>10</v>
      </c>
      <c r="B18" s="70" t="str">
        <f>IF('Identitas Siswa'!D17=0,"",'Identitas Siswa'!D17)</f>
        <v/>
      </c>
      <c r="C18" s="165"/>
      <c r="D18" s="165"/>
      <c r="E18" s="172"/>
    </row>
    <row r="19" spans="1:5" hidden="1" x14ac:dyDescent="0.25">
      <c r="A19" s="71">
        <f>'Identitas Siswa'!A18</f>
        <v>11</v>
      </c>
      <c r="B19" s="70" t="str">
        <f>IF('Identitas Siswa'!D18=0,"",'Identitas Siswa'!D18)</f>
        <v/>
      </c>
      <c r="C19" s="165"/>
      <c r="D19" s="165"/>
      <c r="E19" s="172"/>
    </row>
    <row r="20" spans="1:5" hidden="1" x14ac:dyDescent="0.25">
      <c r="A20" s="71">
        <f>'Identitas Siswa'!A19</f>
        <v>12</v>
      </c>
      <c r="B20" s="70" t="str">
        <f>IF('Identitas Siswa'!D19=0,"",'Identitas Siswa'!D19)</f>
        <v/>
      </c>
      <c r="C20" s="165"/>
      <c r="D20" s="165"/>
      <c r="E20" s="172"/>
    </row>
    <row r="21" spans="1:5" hidden="1" x14ac:dyDescent="0.25">
      <c r="A21" s="71">
        <f>'Identitas Siswa'!A20</f>
        <v>13</v>
      </c>
      <c r="B21" s="70" t="str">
        <f>IF('Identitas Siswa'!D20=0,"",'Identitas Siswa'!D20)</f>
        <v/>
      </c>
      <c r="C21" s="165"/>
      <c r="D21" s="165"/>
      <c r="E21" s="172"/>
    </row>
    <row r="22" spans="1:5" hidden="1" x14ac:dyDescent="0.25">
      <c r="A22" s="71">
        <f>'Identitas Siswa'!A21</f>
        <v>14</v>
      </c>
      <c r="B22" s="70" t="str">
        <f>IF('Identitas Siswa'!D21=0,"",'Identitas Siswa'!D21)</f>
        <v/>
      </c>
      <c r="C22" s="165"/>
      <c r="D22" s="165"/>
      <c r="E22" s="172"/>
    </row>
    <row r="23" spans="1:5" hidden="1" x14ac:dyDescent="0.25">
      <c r="A23" s="71">
        <f>'Identitas Siswa'!A22</f>
        <v>15</v>
      </c>
      <c r="B23" s="70" t="str">
        <f>IF('Identitas Siswa'!D22=0,"",'Identitas Siswa'!D22)</f>
        <v/>
      </c>
      <c r="C23" s="165"/>
      <c r="D23" s="165"/>
      <c r="E23" s="172"/>
    </row>
    <row r="24" spans="1:5" hidden="1" x14ac:dyDescent="0.25">
      <c r="A24" s="71">
        <f>'Identitas Siswa'!A23</f>
        <v>16</v>
      </c>
      <c r="B24" s="70" t="str">
        <f>IF('Identitas Siswa'!D23=0,"",'Identitas Siswa'!D23)</f>
        <v/>
      </c>
      <c r="C24" s="165"/>
      <c r="D24" s="165"/>
      <c r="E24" s="172"/>
    </row>
    <row r="25" spans="1:5" hidden="1" x14ac:dyDescent="0.25">
      <c r="A25" s="71">
        <f>'Identitas Siswa'!A24</f>
        <v>17</v>
      </c>
      <c r="B25" s="70" t="str">
        <f>IF('Identitas Siswa'!D24=0,"",'Identitas Siswa'!D24)</f>
        <v/>
      </c>
      <c r="C25" s="165"/>
      <c r="D25" s="165"/>
      <c r="E25" s="172"/>
    </row>
    <row r="26" spans="1:5" hidden="1" x14ac:dyDescent="0.25">
      <c r="A26" s="71">
        <f>'Identitas Siswa'!A25</f>
        <v>18</v>
      </c>
      <c r="B26" s="70" t="str">
        <f>IF('Identitas Siswa'!D25=0,"",'Identitas Siswa'!D25)</f>
        <v/>
      </c>
      <c r="C26" s="165"/>
      <c r="D26" s="165"/>
      <c r="E26" s="172"/>
    </row>
    <row r="27" spans="1:5" hidden="1" x14ac:dyDescent="0.25">
      <c r="A27" s="71">
        <f>'Identitas Siswa'!A26</f>
        <v>19</v>
      </c>
      <c r="B27" s="70" t="str">
        <f>IF('Identitas Siswa'!D26=0,"",'Identitas Siswa'!D26)</f>
        <v/>
      </c>
      <c r="C27" s="165"/>
      <c r="D27" s="165"/>
      <c r="E27" s="172"/>
    </row>
    <row r="28" spans="1:5" hidden="1" x14ac:dyDescent="0.25">
      <c r="A28" s="71">
        <f>'Identitas Siswa'!A27</f>
        <v>20</v>
      </c>
      <c r="B28" s="70" t="str">
        <f>IF('Identitas Siswa'!D27=0,"",'Identitas Siswa'!D27)</f>
        <v/>
      </c>
      <c r="C28" s="165"/>
      <c r="D28" s="165"/>
      <c r="E28" s="172"/>
    </row>
    <row r="29" spans="1:5" hidden="1" x14ac:dyDescent="0.25">
      <c r="A29" s="71">
        <f>'Identitas Siswa'!A28</f>
        <v>21</v>
      </c>
      <c r="B29" s="70" t="str">
        <f>IF('Identitas Siswa'!D28=0,"",'Identitas Siswa'!D28)</f>
        <v/>
      </c>
      <c r="C29" s="165"/>
      <c r="D29" s="165"/>
      <c r="E29" s="172"/>
    </row>
    <row r="30" spans="1:5" hidden="1" x14ac:dyDescent="0.25">
      <c r="A30" s="71">
        <f>'Identitas Siswa'!A29</f>
        <v>22</v>
      </c>
      <c r="B30" s="70" t="str">
        <f>IF('Identitas Siswa'!D29=0,"",'Identitas Siswa'!D29)</f>
        <v/>
      </c>
      <c r="C30" s="165"/>
      <c r="D30" s="165"/>
      <c r="E30" s="172"/>
    </row>
    <row r="31" spans="1:5" hidden="1" x14ac:dyDescent="0.25">
      <c r="A31" s="71">
        <f>'Identitas Siswa'!A30</f>
        <v>23</v>
      </c>
      <c r="B31" s="70" t="str">
        <f>IF('Identitas Siswa'!D30=0,"",'Identitas Siswa'!D30)</f>
        <v/>
      </c>
      <c r="C31" s="165"/>
      <c r="D31" s="165"/>
      <c r="E31" s="172"/>
    </row>
    <row r="32" spans="1:5" hidden="1" x14ac:dyDescent="0.25">
      <c r="A32" s="71">
        <f>'Identitas Siswa'!A31</f>
        <v>24</v>
      </c>
      <c r="B32" s="70" t="str">
        <f>IF('Identitas Siswa'!D31=0,"",'Identitas Siswa'!D31)</f>
        <v/>
      </c>
      <c r="C32" s="165"/>
      <c r="D32" s="165"/>
      <c r="E32" s="172"/>
    </row>
    <row r="33" spans="1:5" hidden="1" x14ac:dyDescent="0.25">
      <c r="A33" s="71">
        <f>'Identitas Siswa'!A32</f>
        <v>25</v>
      </c>
      <c r="B33" s="70" t="str">
        <f>IF('Identitas Siswa'!D32=0,"",'Identitas Siswa'!D32)</f>
        <v/>
      </c>
      <c r="C33" s="165"/>
      <c r="D33" s="165"/>
      <c r="E33" s="172"/>
    </row>
    <row r="34" spans="1:5" hidden="1" x14ac:dyDescent="0.25">
      <c r="A34" s="71">
        <f>'Identitas Siswa'!A33</f>
        <v>26</v>
      </c>
      <c r="B34" s="70" t="str">
        <f>IF('Identitas Siswa'!D33=0,"",'Identitas Siswa'!D33)</f>
        <v/>
      </c>
      <c r="C34" s="165"/>
      <c r="D34" s="165"/>
      <c r="E34" s="172"/>
    </row>
    <row r="35" spans="1:5" hidden="1" x14ac:dyDescent="0.25">
      <c r="A35" s="71">
        <f>'Identitas Siswa'!A34</f>
        <v>27</v>
      </c>
      <c r="B35" s="70" t="str">
        <f>IF('Identitas Siswa'!D34=0,"",'Identitas Siswa'!D34)</f>
        <v/>
      </c>
      <c r="C35" s="165"/>
      <c r="D35" s="165"/>
      <c r="E35" s="172"/>
    </row>
    <row r="36" spans="1:5" hidden="1" x14ac:dyDescent="0.25">
      <c r="A36" s="71">
        <f>'Identitas Siswa'!A35</f>
        <v>28</v>
      </c>
      <c r="B36" s="70" t="str">
        <f>IF('Identitas Siswa'!D35=0,"",'Identitas Siswa'!D35)</f>
        <v/>
      </c>
      <c r="C36" s="165"/>
      <c r="D36" s="165"/>
      <c r="E36" s="172"/>
    </row>
    <row r="37" spans="1:5" hidden="1" x14ac:dyDescent="0.25">
      <c r="A37" s="71">
        <f>'Identitas Siswa'!A36</f>
        <v>29</v>
      </c>
      <c r="B37" s="70" t="str">
        <f>IF('Identitas Siswa'!D36=0,"",'Identitas Siswa'!D36)</f>
        <v/>
      </c>
      <c r="C37" s="165"/>
      <c r="D37" s="165"/>
      <c r="E37" s="172"/>
    </row>
    <row r="38" spans="1:5" hidden="1" x14ac:dyDescent="0.25">
      <c r="A38" s="71">
        <f>'Identitas Siswa'!A37</f>
        <v>30</v>
      </c>
      <c r="B38" s="70" t="str">
        <f>IF('Identitas Siswa'!D37=0,"",'Identitas Siswa'!D37)</f>
        <v/>
      </c>
      <c r="C38" s="165"/>
      <c r="D38" s="165"/>
      <c r="E38" s="172"/>
    </row>
    <row r="39" spans="1:5" hidden="1" x14ac:dyDescent="0.25">
      <c r="A39" s="71">
        <f>'Identitas Siswa'!A38</f>
        <v>31</v>
      </c>
      <c r="B39" s="70" t="str">
        <f>IF('Identitas Siswa'!D38=0,"",'Identitas Siswa'!D38)</f>
        <v/>
      </c>
      <c r="C39" s="165"/>
      <c r="D39" s="165"/>
      <c r="E39" s="172"/>
    </row>
    <row r="40" spans="1:5" hidden="1" x14ac:dyDescent="0.25">
      <c r="A40" s="71">
        <f>'Identitas Siswa'!A39</f>
        <v>32</v>
      </c>
      <c r="B40" s="70" t="str">
        <f>IF('Identitas Siswa'!D39=0,"",'Identitas Siswa'!D39)</f>
        <v/>
      </c>
      <c r="C40" s="165"/>
      <c r="D40" s="165"/>
      <c r="E40" s="172"/>
    </row>
    <row r="41" spans="1:5" hidden="1" x14ac:dyDescent="0.25">
      <c r="A41" s="71">
        <f>'Identitas Siswa'!A40</f>
        <v>33</v>
      </c>
      <c r="B41" s="70" t="str">
        <f>IF('Identitas Siswa'!D40=0,"",'Identitas Siswa'!D40)</f>
        <v/>
      </c>
      <c r="C41" s="165"/>
      <c r="D41" s="165"/>
      <c r="E41" s="172"/>
    </row>
    <row r="42" spans="1:5" hidden="1" x14ac:dyDescent="0.25">
      <c r="A42" s="71">
        <f>'Identitas Siswa'!A41</f>
        <v>34</v>
      </c>
      <c r="B42" s="70" t="str">
        <f>IF('Identitas Siswa'!D41=0,"",'Identitas Siswa'!D41)</f>
        <v/>
      </c>
      <c r="C42" s="165"/>
      <c r="D42" s="165"/>
      <c r="E42" s="172"/>
    </row>
    <row r="43" spans="1:5" hidden="1" x14ac:dyDescent="0.25">
      <c r="A43" s="71">
        <f>'Identitas Siswa'!A42</f>
        <v>35</v>
      </c>
      <c r="B43" s="70" t="str">
        <f>IF('Identitas Siswa'!D42=0,"",'Identitas Siswa'!D42)</f>
        <v/>
      </c>
      <c r="C43" s="165"/>
      <c r="D43" s="165"/>
      <c r="E43" s="172"/>
    </row>
    <row r="44" spans="1:5" hidden="1" x14ac:dyDescent="0.25">
      <c r="A44" s="71">
        <f>'Identitas Siswa'!A43</f>
        <v>36</v>
      </c>
      <c r="B44" s="70" t="str">
        <f>IF('Identitas Siswa'!D43=0,"",'Identitas Siswa'!D43)</f>
        <v/>
      </c>
      <c r="C44" s="165"/>
      <c r="D44" s="165"/>
      <c r="E44" s="172"/>
    </row>
    <row r="45" spans="1:5" hidden="1" x14ac:dyDescent="0.25">
      <c r="A45" s="71">
        <f>'Identitas Siswa'!A44</f>
        <v>37</v>
      </c>
      <c r="B45" s="70" t="str">
        <f>IF('Identitas Siswa'!D44=0,"",'Identitas Siswa'!D44)</f>
        <v/>
      </c>
      <c r="C45" s="165"/>
      <c r="D45" s="165"/>
      <c r="E45" s="172"/>
    </row>
    <row r="46" spans="1:5" hidden="1" x14ac:dyDescent="0.25">
      <c r="A46" s="71">
        <f>'Identitas Siswa'!A45</f>
        <v>38</v>
      </c>
      <c r="B46" s="70" t="str">
        <f>IF('Identitas Siswa'!D45=0,"",'Identitas Siswa'!D45)</f>
        <v/>
      </c>
      <c r="C46" s="165"/>
      <c r="D46" s="165"/>
      <c r="E46" s="172"/>
    </row>
    <row r="47" spans="1:5" hidden="1" x14ac:dyDescent="0.25">
      <c r="A47" s="71">
        <f>'Identitas Siswa'!A46</f>
        <v>39</v>
      </c>
      <c r="B47" s="70" t="str">
        <f>IF('Identitas Siswa'!D46=0,"",'Identitas Siswa'!D46)</f>
        <v/>
      </c>
      <c r="C47" s="165"/>
      <c r="D47" s="165"/>
      <c r="E47" s="172"/>
    </row>
    <row r="48" spans="1:5" hidden="1" x14ac:dyDescent="0.25">
      <c r="A48" s="71">
        <f>'Identitas Siswa'!A47</f>
        <v>40</v>
      </c>
      <c r="B48" s="70" t="str">
        <f>IF('Identitas Siswa'!D47=0,"",'Identitas Siswa'!D47)</f>
        <v/>
      </c>
      <c r="C48" s="165"/>
      <c r="D48" s="165"/>
      <c r="E48" s="172"/>
    </row>
    <row r="49" spans="1:5" hidden="1" x14ac:dyDescent="0.25">
      <c r="A49" s="71">
        <f>'Identitas Siswa'!A48</f>
        <v>41</v>
      </c>
      <c r="B49" s="70" t="str">
        <f>IF('Identitas Siswa'!D48=0,"",'Identitas Siswa'!D48)</f>
        <v/>
      </c>
      <c r="C49" s="165"/>
      <c r="D49" s="165"/>
      <c r="E49" s="172"/>
    </row>
    <row r="50" spans="1:5" hidden="1" x14ac:dyDescent="0.25">
      <c r="A50" s="71">
        <f>'Identitas Siswa'!A49</f>
        <v>42</v>
      </c>
      <c r="B50" s="70" t="str">
        <f>IF('Identitas Siswa'!D49=0,"",'Identitas Siswa'!D49)</f>
        <v/>
      </c>
      <c r="C50" s="165"/>
      <c r="D50" s="165"/>
      <c r="E50" s="172"/>
    </row>
    <row r="51" spans="1:5" hidden="1" x14ac:dyDescent="0.25">
      <c r="A51" s="71">
        <f>'Identitas Siswa'!A50</f>
        <v>43</v>
      </c>
      <c r="B51" s="70" t="str">
        <f>IF('Identitas Siswa'!D50=0,"",'Identitas Siswa'!D50)</f>
        <v/>
      </c>
      <c r="C51" s="165"/>
      <c r="D51" s="165"/>
      <c r="E51" s="172"/>
    </row>
    <row r="52" spans="1:5" hidden="1" x14ac:dyDescent="0.25">
      <c r="A52" s="71">
        <f>'Identitas Siswa'!A51</f>
        <v>44</v>
      </c>
      <c r="B52" s="70" t="str">
        <f>IF('Identitas Siswa'!D51=0,"",'Identitas Siswa'!D51)</f>
        <v/>
      </c>
      <c r="C52" s="165"/>
      <c r="D52" s="165"/>
      <c r="E52" s="172"/>
    </row>
    <row r="53" spans="1:5" hidden="1" x14ac:dyDescent="0.25">
      <c r="A53" s="71">
        <f>'Identitas Siswa'!A52</f>
        <v>45</v>
      </c>
      <c r="B53" s="70" t="str">
        <f>IF('Identitas Siswa'!D52=0,"",'Identitas Siswa'!D52)</f>
        <v/>
      </c>
      <c r="C53" s="165"/>
      <c r="D53" s="165"/>
      <c r="E53" s="172"/>
    </row>
    <row r="54" spans="1:5" hidden="1" x14ac:dyDescent="0.25">
      <c r="A54" s="71">
        <f>'Identitas Siswa'!A53</f>
        <v>46</v>
      </c>
      <c r="B54" s="70" t="str">
        <f>IF('Identitas Siswa'!D53=0,"",'Identitas Siswa'!D53)</f>
        <v/>
      </c>
      <c r="C54" s="165"/>
      <c r="D54" s="165"/>
      <c r="E54" s="172"/>
    </row>
    <row r="55" spans="1:5" hidden="1" x14ac:dyDescent="0.25">
      <c r="A55" s="71">
        <f>'Identitas Siswa'!A54</f>
        <v>47</v>
      </c>
      <c r="B55" s="70" t="str">
        <f>IF('Identitas Siswa'!D54=0,"",'Identitas Siswa'!D54)</f>
        <v/>
      </c>
      <c r="C55" s="165"/>
      <c r="D55" s="165"/>
      <c r="E55" s="172"/>
    </row>
    <row r="56" spans="1:5" hidden="1" x14ac:dyDescent="0.25">
      <c r="A56" s="71">
        <f>'Identitas Siswa'!A55</f>
        <v>48</v>
      </c>
      <c r="B56" s="70" t="str">
        <f>IF('Identitas Siswa'!D55=0,"",'Identitas Siswa'!D55)</f>
        <v/>
      </c>
      <c r="C56" s="165"/>
      <c r="D56" s="165"/>
      <c r="E56" s="172"/>
    </row>
    <row r="57" spans="1:5" hidden="1" x14ac:dyDescent="0.25">
      <c r="A57" s="71">
        <f>'Identitas Siswa'!A56</f>
        <v>49</v>
      </c>
      <c r="B57" s="70" t="str">
        <f>IF('Identitas Siswa'!D56=0,"",'Identitas Siswa'!D56)</f>
        <v/>
      </c>
      <c r="C57" s="165"/>
      <c r="D57" s="165"/>
      <c r="E57" s="172"/>
    </row>
    <row r="58" spans="1:5" hidden="1" x14ac:dyDescent="0.25">
      <c r="A58" s="71">
        <f>'Identitas Siswa'!A57</f>
        <v>50</v>
      </c>
      <c r="B58" s="70" t="str">
        <f>IF('Identitas Siswa'!D57=0,"",'Identitas Siswa'!D57)</f>
        <v/>
      </c>
      <c r="C58" s="165"/>
      <c r="D58" s="165"/>
      <c r="E58" s="172"/>
    </row>
    <row r="59" spans="1:5" hidden="1" x14ac:dyDescent="0.25">
      <c r="A59" s="71">
        <f>'Identitas Siswa'!A58</f>
        <v>51</v>
      </c>
      <c r="B59" s="70" t="str">
        <f>IF('Identitas Siswa'!D58=0,"",'Identitas Siswa'!D58)</f>
        <v/>
      </c>
      <c r="C59" s="165"/>
      <c r="D59" s="165"/>
      <c r="E59" s="172"/>
    </row>
    <row r="60" spans="1:5" hidden="1" x14ac:dyDescent="0.25">
      <c r="A60" s="71">
        <f>'Identitas Siswa'!A59</f>
        <v>52</v>
      </c>
      <c r="B60" s="70" t="str">
        <f>IF('Identitas Siswa'!D59=0,"",'Identitas Siswa'!D59)</f>
        <v/>
      </c>
      <c r="C60" s="165"/>
      <c r="D60" s="165"/>
      <c r="E60" s="172"/>
    </row>
    <row r="61" spans="1:5" hidden="1" x14ac:dyDescent="0.25">
      <c r="A61" s="71">
        <f>'Identitas Siswa'!A60</f>
        <v>53</v>
      </c>
      <c r="B61" s="70" t="str">
        <f>IF('Identitas Siswa'!D60=0,"",'Identitas Siswa'!D60)</f>
        <v/>
      </c>
      <c r="C61" s="165"/>
      <c r="D61" s="165"/>
      <c r="E61" s="172"/>
    </row>
    <row r="62" spans="1:5" hidden="1" x14ac:dyDescent="0.25">
      <c r="A62" s="71">
        <f>'Identitas Siswa'!A61</f>
        <v>54</v>
      </c>
      <c r="B62" s="70" t="str">
        <f>IF('Identitas Siswa'!D61=0,"",'Identitas Siswa'!D61)</f>
        <v/>
      </c>
      <c r="C62" s="165"/>
      <c r="D62" s="165"/>
      <c r="E62" s="172"/>
    </row>
    <row r="63" spans="1:5" hidden="1" x14ac:dyDescent="0.25">
      <c r="A63" s="71">
        <f>'Identitas Siswa'!A62</f>
        <v>55</v>
      </c>
      <c r="B63" s="70" t="str">
        <f>IF('Identitas Siswa'!D62=0,"",'Identitas Siswa'!D62)</f>
        <v/>
      </c>
      <c r="C63" s="165"/>
      <c r="D63" s="165"/>
      <c r="E63" s="172"/>
    </row>
    <row r="64" spans="1:5" hidden="1" x14ac:dyDescent="0.25">
      <c r="A64" s="71">
        <f>'Identitas Siswa'!A63</f>
        <v>56</v>
      </c>
      <c r="B64" s="70" t="str">
        <f>IF('Identitas Siswa'!D63=0,"",'Identitas Siswa'!D63)</f>
        <v/>
      </c>
      <c r="C64" s="165"/>
      <c r="D64" s="165"/>
      <c r="E64" s="172"/>
    </row>
    <row r="65" spans="1:5" hidden="1" x14ac:dyDescent="0.25">
      <c r="A65" s="71">
        <f>'Identitas Siswa'!A64</f>
        <v>57</v>
      </c>
      <c r="B65" s="70" t="str">
        <f>IF('Identitas Siswa'!D64=0,"",'Identitas Siswa'!D64)</f>
        <v/>
      </c>
      <c r="C65" s="165"/>
      <c r="D65" s="165"/>
      <c r="E65" s="172"/>
    </row>
    <row r="66" spans="1:5" hidden="1" x14ac:dyDescent="0.25">
      <c r="A66" s="71">
        <f>'Identitas Siswa'!A65</f>
        <v>58</v>
      </c>
      <c r="B66" s="70" t="str">
        <f>IF('Identitas Siswa'!D65=0,"",'Identitas Siswa'!D65)</f>
        <v/>
      </c>
      <c r="C66" s="165"/>
      <c r="D66" s="165"/>
      <c r="E66" s="172"/>
    </row>
    <row r="67" spans="1:5" hidden="1" x14ac:dyDescent="0.25">
      <c r="A67" s="71">
        <f>'Identitas Siswa'!A66</f>
        <v>59</v>
      </c>
      <c r="B67" s="70" t="str">
        <f>IF('Identitas Siswa'!D66=0,"",'Identitas Siswa'!D66)</f>
        <v/>
      </c>
      <c r="C67" s="165"/>
      <c r="D67" s="165"/>
      <c r="E67" s="172"/>
    </row>
    <row r="68" spans="1:5" ht="15.75" hidden="1" thickBot="1" x14ac:dyDescent="0.3">
      <c r="A68" s="72">
        <f>'Identitas Siswa'!A67</f>
        <v>60</v>
      </c>
      <c r="B68" s="73" t="str">
        <f>IF('Identitas Siswa'!D67=0,"",'Identitas Siswa'!D67)</f>
        <v/>
      </c>
      <c r="C68" s="173"/>
      <c r="D68" s="173"/>
      <c r="E68" s="174"/>
    </row>
    <row r="69" spans="1:5" s="15" customFormat="1" x14ac:dyDescent="0.25"/>
  </sheetData>
  <sheetProtection sheet="1" objects="1" scenarios="1"/>
  <mergeCells count="3">
    <mergeCell ref="C7:E7"/>
    <mergeCell ref="A7:A8"/>
    <mergeCell ref="B7:B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</xdr:col>
                <xdr:colOff>38100</xdr:colOff>
                <xdr:row>1</xdr:row>
                <xdr:rowOff>76200</xdr:rowOff>
              </from>
              <to>
                <xdr:col>1</xdr:col>
                <xdr:colOff>1762125</xdr:colOff>
                <xdr:row>4</xdr:row>
                <xdr:rowOff>180975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092F-4ABF-4535-A014-23D3FD2E4969}">
  <sheetPr codeName="Sheet25"/>
  <dimension ref="A1:D69"/>
  <sheetViews>
    <sheetView workbookViewId="0">
      <selection activeCell="D15" sqref="D15"/>
    </sheetView>
  </sheetViews>
  <sheetFormatPr defaultColWidth="0" defaultRowHeight="15" zeroHeight="1" x14ac:dyDescent="0.25"/>
  <cols>
    <col min="1" max="1" width="3.5703125" bestFit="1" customWidth="1"/>
    <col min="2" max="2" width="25.28515625" bestFit="1" customWidth="1"/>
    <col min="3" max="3" width="18" customWidth="1"/>
    <col min="4" max="4" width="9.140625" style="15" customWidth="1"/>
    <col min="5" max="16384" width="9.140625" hidden="1"/>
  </cols>
  <sheetData>
    <row r="1" spans="1:3" s="15" customFormat="1" x14ac:dyDescent="0.25"/>
    <row r="2" spans="1:3" s="15" customFormat="1" x14ac:dyDescent="0.25"/>
    <row r="3" spans="1:3" s="15" customFormat="1" x14ac:dyDescent="0.25"/>
    <row r="4" spans="1:3" s="15" customFormat="1" x14ac:dyDescent="0.25"/>
    <row r="5" spans="1:3" s="15" customFormat="1" x14ac:dyDescent="0.25"/>
    <row r="6" spans="1:3" s="15" customFormat="1" x14ac:dyDescent="0.25"/>
    <row r="7" spans="1:3" s="15" customFormat="1" ht="15.75" thickBot="1" x14ac:dyDescent="0.3"/>
    <row r="8" spans="1:3" ht="40.5" customHeight="1" x14ac:dyDescent="0.25">
      <c r="A8" s="77" t="s">
        <v>81</v>
      </c>
      <c r="B8" s="80" t="s">
        <v>64</v>
      </c>
      <c r="C8" s="81" t="s">
        <v>378</v>
      </c>
    </row>
    <row r="9" spans="1:3" x14ac:dyDescent="0.25">
      <c r="A9" s="71">
        <f>'Identitas Siswa'!A8</f>
        <v>1</v>
      </c>
      <c r="B9" s="70" t="str">
        <f>IF('Identitas Siswa'!D8=0,"",'Identitas Siswa'!D8)</f>
        <v>Abhy Arfa Ridho Hibatullah</v>
      </c>
      <c r="C9" s="169" t="s">
        <v>380</v>
      </c>
    </row>
    <row r="10" spans="1:3" x14ac:dyDescent="0.25">
      <c r="A10" s="71">
        <f>'Identitas Siswa'!A9</f>
        <v>2</v>
      </c>
      <c r="B10" s="70" t="str">
        <f>IF('Identitas Siswa'!D9=0,"",'Identitas Siswa'!D9)</f>
        <v>aku saja</v>
      </c>
      <c r="C10" s="169" t="s">
        <v>426</v>
      </c>
    </row>
    <row r="11" spans="1:3" ht="15.75" thickBot="1" x14ac:dyDescent="0.3">
      <c r="A11" s="71">
        <f>'Identitas Siswa'!A10</f>
        <v>3</v>
      </c>
      <c r="B11" s="70" t="str">
        <f>IF('Identitas Siswa'!D10=0,"",'Identitas Siswa'!D10)</f>
        <v/>
      </c>
      <c r="C11" s="169" t="s">
        <v>380</v>
      </c>
    </row>
    <row r="12" spans="1:3" hidden="1" x14ac:dyDescent="0.25">
      <c r="A12" s="71">
        <f>'Identitas Siswa'!A11</f>
        <v>4</v>
      </c>
      <c r="B12" s="70" t="str">
        <f>IF('Identitas Siswa'!D11=0,"",'Identitas Siswa'!D11)</f>
        <v/>
      </c>
      <c r="C12" s="169" t="s">
        <v>380</v>
      </c>
    </row>
    <row r="13" spans="1:3" hidden="1" x14ac:dyDescent="0.25">
      <c r="A13" s="71">
        <f>'Identitas Siswa'!A12</f>
        <v>5</v>
      </c>
      <c r="B13" s="70" t="str">
        <f>IF('Identitas Siswa'!D12=0,"",'Identitas Siswa'!D12)</f>
        <v/>
      </c>
      <c r="C13" s="169" t="s">
        <v>380</v>
      </c>
    </row>
    <row r="14" spans="1:3" hidden="1" x14ac:dyDescent="0.25">
      <c r="A14" s="71">
        <f>'Identitas Siswa'!A13</f>
        <v>6</v>
      </c>
      <c r="B14" s="70" t="str">
        <f>IF('Identitas Siswa'!D13=0,"",'Identitas Siswa'!D13)</f>
        <v/>
      </c>
      <c r="C14" s="169" t="s">
        <v>380</v>
      </c>
    </row>
    <row r="15" spans="1:3" hidden="1" x14ac:dyDescent="0.25">
      <c r="A15" s="71">
        <f>'Identitas Siswa'!A14</f>
        <v>7</v>
      </c>
      <c r="B15" s="70" t="str">
        <f>IF('Identitas Siswa'!D14=0,"",'Identitas Siswa'!D14)</f>
        <v/>
      </c>
      <c r="C15" s="169" t="s">
        <v>380</v>
      </c>
    </row>
    <row r="16" spans="1:3" hidden="1" x14ac:dyDescent="0.25">
      <c r="A16" s="71">
        <f>'Identitas Siswa'!A15</f>
        <v>8</v>
      </c>
      <c r="B16" s="70" t="str">
        <f>IF('Identitas Siswa'!D15=0,"",'Identitas Siswa'!D15)</f>
        <v/>
      </c>
      <c r="C16" s="169" t="s">
        <v>380</v>
      </c>
    </row>
    <row r="17" spans="1:3" hidden="1" x14ac:dyDescent="0.25">
      <c r="A17" s="71">
        <f>'Identitas Siswa'!A16</f>
        <v>9</v>
      </c>
      <c r="B17" s="70" t="str">
        <f>IF('Identitas Siswa'!D16=0,"",'Identitas Siswa'!D16)</f>
        <v/>
      </c>
      <c r="C17" s="169" t="s">
        <v>380</v>
      </c>
    </row>
    <row r="18" spans="1:3" hidden="1" x14ac:dyDescent="0.25">
      <c r="A18" s="71">
        <f>'Identitas Siswa'!A17</f>
        <v>10</v>
      </c>
      <c r="B18" s="70" t="str">
        <f>IF('Identitas Siswa'!D17=0,"",'Identitas Siswa'!D17)</f>
        <v/>
      </c>
      <c r="C18" s="169" t="s">
        <v>380</v>
      </c>
    </row>
    <row r="19" spans="1:3" hidden="1" x14ac:dyDescent="0.25">
      <c r="A19" s="71">
        <f>'Identitas Siswa'!A18</f>
        <v>11</v>
      </c>
      <c r="B19" s="70" t="str">
        <f>IF('Identitas Siswa'!D18=0,"",'Identitas Siswa'!D18)</f>
        <v/>
      </c>
      <c r="C19" s="169" t="s">
        <v>380</v>
      </c>
    </row>
    <row r="20" spans="1:3" hidden="1" x14ac:dyDescent="0.25">
      <c r="A20" s="71">
        <f>'Identitas Siswa'!A19</f>
        <v>12</v>
      </c>
      <c r="B20" s="70" t="str">
        <f>IF('Identitas Siswa'!D19=0,"",'Identitas Siswa'!D19)</f>
        <v/>
      </c>
      <c r="C20" s="169" t="s">
        <v>380</v>
      </c>
    </row>
    <row r="21" spans="1:3" hidden="1" x14ac:dyDescent="0.25">
      <c r="A21" s="71">
        <f>'Identitas Siswa'!A20</f>
        <v>13</v>
      </c>
      <c r="B21" s="70" t="str">
        <f>IF('Identitas Siswa'!D20=0,"",'Identitas Siswa'!D20)</f>
        <v/>
      </c>
      <c r="C21" s="169" t="s">
        <v>380</v>
      </c>
    </row>
    <row r="22" spans="1:3" hidden="1" x14ac:dyDescent="0.25">
      <c r="A22" s="71">
        <f>'Identitas Siswa'!A21</f>
        <v>14</v>
      </c>
      <c r="B22" s="70" t="str">
        <f>IF('Identitas Siswa'!D21=0,"",'Identitas Siswa'!D21)</f>
        <v/>
      </c>
      <c r="C22" s="169" t="s">
        <v>380</v>
      </c>
    </row>
    <row r="23" spans="1:3" hidden="1" x14ac:dyDescent="0.25">
      <c r="A23" s="71">
        <f>'Identitas Siswa'!A22</f>
        <v>15</v>
      </c>
      <c r="B23" s="70" t="str">
        <f>IF('Identitas Siswa'!D22=0,"",'Identitas Siswa'!D22)</f>
        <v/>
      </c>
      <c r="C23" s="169" t="s">
        <v>380</v>
      </c>
    </row>
    <row r="24" spans="1:3" hidden="1" x14ac:dyDescent="0.25">
      <c r="A24" s="71">
        <f>'Identitas Siswa'!A23</f>
        <v>16</v>
      </c>
      <c r="B24" s="70" t="str">
        <f>IF('Identitas Siswa'!D23=0,"",'Identitas Siswa'!D23)</f>
        <v/>
      </c>
      <c r="C24" s="169" t="s">
        <v>380</v>
      </c>
    </row>
    <row r="25" spans="1:3" hidden="1" x14ac:dyDescent="0.25">
      <c r="A25" s="71">
        <f>'Identitas Siswa'!A24</f>
        <v>17</v>
      </c>
      <c r="B25" s="70" t="str">
        <f>IF('Identitas Siswa'!D24=0,"",'Identitas Siswa'!D24)</f>
        <v/>
      </c>
      <c r="C25" s="169" t="s">
        <v>380</v>
      </c>
    </row>
    <row r="26" spans="1:3" hidden="1" x14ac:dyDescent="0.25">
      <c r="A26" s="71">
        <f>'Identitas Siswa'!A25</f>
        <v>18</v>
      </c>
      <c r="B26" s="70" t="str">
        <f>IF('Identitas Siswa'!D25=0,"",'Identitas Siswa'!D25)</f>
        <v/>
      </c>
      <c r="C26" s="169" t="s">
        <v>380</v>
      </c>
    </row>
    <row r="27" spans="1:3" hidden="1" x14ac:dyDescent="0.25">
      <c r="A27" s="71">
        <f>'Identitas Siswa'!A26</f>
        <v>19</v>
      </c>
      <c r="B27" s="70" t="str">
        <f>IF('Identitas Siswa'!D26=0,"",'Identitas Siswa'!D26)</f>
        <v/>
      </c>
      <c r="C27" s="169" t="s">
        <v>380</v>
      </c>
    </row>
    <row r="28" spans="1:3" hidden="1" x14ac:dyDescent="0.25">
      <c r="A28" s="71">
        <f>'Identitas Siswa'!A27</f>
        <v>20</v>
      </c>
      <c r="B28" s="70" t="str">
        <f>IF('Identitas Siswa'!D27=0,"",'Identitas Siswa'!D27)</f>
        <v/>
      </c>
      <c r="C28" s="169" t="s">
        <v>380</v>
      </c>
    </row>
    <row r="29" spans="1:3" hidden="1" x14ac:dyDescent="0.25">
      <c r="A29" s="71">
        <f>'Identitas Siswa'!A28</f>
        <v>21</v>
      </c>
      <c r="B29" s="70" t="str">
        <f>IF('Identitas Siswa'!D28=0,"",'Identitas Siswa'!D28)</f>
        <v/>
      </c>
      <c r="C29" s="169" t="s">
        <v>380</v>
      </c>
    </row>
    <row r="30" spans="1:3" hidden="1" x14ac:dyDescent="0.25">
      <c r="A30" s="71">
        <f>'Identitas Siswa'!A29</f>
        <v>22</v>
      </c>
      <c r="B30" s="70" t="str">
        <f>IF('Identitas Siswa'!D29=0,"",'Identitas Siswa'!D29)</f>
        <v/>
      </c>
      <c r="C30" s="169" t="s">
        <v>380</v>
      </c>
    </row>
    <row r="31" spans="1:3" hidden="1" x14ac:dyDescent="0.25">
      <c r="A31" s="71">
        <f>'Identitas Siswa'!A30</f>
        <v>23</v>
      </c>
      <c r="B31" s="70" t="str">
        <f>IF('Identitas Siswa'!D30=0,"",'Identitas Siswa'!D30)</f>
        <v/>
      </c>
      <c r="C31" s="169" t="s">
        <v>380</v>
      </c>
    </row>
    <row r="32" spans="1:3" hidden="1" x14ac:dyDescent="0.25">
      <c r="A32" s="71">
        <f>'Identitas Siswa'!A31</f>
        <v>24</v>
      </c>
      <c r="B32" s="70" t="str">
        <f>IF('Identitas Siswa'!D31=0,"",'Identitas Siswa'!D31)</f>
        <v/>
      </c>
      <c r="C32" s="169" t="s">
        <v>380</v>
      </c>
    </row>
    <row r="33" spans="1:3" hidden="1" x14ac:dyDescent="0.25">
      <c r="A33" s="71">
        <f>'Identitas Siswa'!A32</f>
        <v>25</v>
      </c>
      <c r="B33" s="70" t="str">
        <f>IF('Identitas Siswa'!D32=0,"",'Identitas Siswa'!D32)</f>
        <v/>
      </c>
      <c r="C33" s="169" t="s">
        <v>380</v>
      </c>
    </row>
    <row r="34" spans="1:3" hidden="1" x14ac:dyDescent="0.25">
      <c r="A34" s="71">
        <f>'Identitas Siswa'!A33</f>
        <v>26</v>
      </c>
      <c r="B34" s="70" t="str">
        <f>IF('Identitas Siswa'!D33=0,"",'Identitas Siswa'!D33)</f>
        <v/>
      </c>
      <c r="C34" s="169" t="s">
        <v>380</v>
      </c>
    </row>
    <row r="35" spans="1:3" hidden="1" x14ac:dyDescent="0.25">
      <c r="A35" s="71">
        <f>'Identitas Siswa'!A34</f>
        <v>27</v>
      </c>
      <c r="B35" s="70" t="str">
        <f>IF('Identitas Siswa'!D34=0,"",'Identitas Siswa'!D34)</f>
        <v/>
      </c>
      <c r="C35" s="169" t="s">
        <v>380</v>
      </c>
    </row>
    <row r="36" spans="1:3" hidden="1" x14ac:dyDescent="0.25">
      <c r="A36" s="71">
        <f>'Identitas Siswa'!A35</f>
        <v>28</v>
      </c>
      <c r="B36" s="70" t="str">
        <f>IF('Identitas Siswa'!D35=0,"",'Identitas Siswa'!D35)</f>
        <v/>
      </c>
      <c r="C36" s="169" t="s">
        <v>380</v>
      </c>
    </row>
    <row r="37" spans="1:3" hidden="1" x14ac:dyDescent="0.25">
      <c r="A37" s="71">
        <f>'Identitas Siswa'!A36</f>
        <v>29</v>
      </c>
      <c r="B37" s="70" t="str">
        <f>IF('Identitas Siswa'!D36=0,"",'Identitas Siswa'!D36)</f>
        <v/>
      </c>
      <c r="C37" s="169" t="s">
        <v>380</v>
      </c>
    </row>
    <row r="38" spans="1:3" hidden="1" x14ac:dyDescent="0.25">
      <c r="A38" s="71">
        <f>'Identitas Siswa'!A37</f>
        <v>30</v>
      </c>
      <c r="B38" s="70" t="str">
        <f>IF('Identitas Siswa'!D37=0,"",'Identitas Siswa'!D37)</f>
        <v/>
      </c>
      <c r="C38" s="169" t="s">
        <v>380</v>
      </c>
    </row>
    <row r="39" spans="1:3" hidden="1" x14ac:dyDescent="0.25">
      <c r="A39" s="71">
        <f>'Identitas Siswa'!A38</f>
        <v>31</v>
      </c>
      <c r="B39" s="70" t="str">
        <f>IF('Identitas Siswa'!D38=0,"",'Identitas Siswa'!D38)</f>
        <v/>
      </c>
      <c r="C39" s="169" t="s">
        <v>380</v>
      </c>
    </row>
    <row r="40" spans="1:3" hidden="1" x14ac:dyDescent="0.25">
      <c r="A40" s="71">
        <f>'Identitas Siswa'!A39</f>
        <v>32</v>
      </c>
      <c r="B40" s="70" t="str">
        <f>IF('Identitas Siswa'!D39=0,"",'Identitas Siswa'!D39)</f>
        <v/>
      </c>
      <c r="C40" s="169" t="s">
        <v>380</v>
      </c>
    </row>
    <row r="41" spans="1:3" hidden="1" x14ac:dyDescent="0.25">
      <c r="A41" s="71">
        <f>'Identitas Siswa'!A40</f>
        <v>33</v>
      </c>
      <c r="B41" s="70" t="str">
        <f>IF('Identitas Siswa'!D40=0,"",'Identitas Siswa'!D40)</f>
        <v/>
      </c>
      <c r="C41" s="169" t="s">
        <v>380</v>
      </c>
    </row>
    <row r="42" spans="1:3" hidden="1" x14ac:dyDescent="0.25">
      <c r="A42" s="71">
        <f>'Identitas Siswa'!A41</f>
        <v>34</v>
      </c>
      <c r="B42" s="70" t="str">
        <f>IF('Identitas Siswa'!D41=0,"",'Identitas Siswa'!D41)</f>
        <v/>
      </c>
      <c r="C42" s="169" t="s">
        <v>380</v>
      </c>
    </row>
    <row r="43" spans="1:3" hidden="1" x14ac:dyDescent="0.25">
      <c r="A43" s="71">
        <f>'Identitas Siswa'!A42</f>
        <v>35</v>
      </c>
      <c r="B43" s="70" t="str">
        <f>IF('Identitas Siswa'!D42=0,"",'Identitas Siswa'!D42)</f>
        <v/>
      </c>
      <c r="C43" s="169" t="s">
        <v>380</v>
      </c>
    </row>
    <row r="44" spans="1:3" hidden="1" x14ac:dyDescent="0.25">
      <c r="A44" s="71">
        <f>'Identitas Siswa'!A43</f>
        <v>36</v>
      </c>
      <c r="B44" s="70" t="str">
        <f>IF('Identitas Siswa'!D43=0,"",'Identitas Siswa'!D43)</f>
        <v/>
      </c>
      <c r="C44" s="169" t="s">
        <v>380</v>
      </c>
    </row>
    <row r="45" spans="1:3" hidden="1" x14ac:dyDescent="0.25">
      <c r="A45" s="71">
        <f>'Identitas Siswa'!A44</f>
        <v>37</v>
      </c>
      <c r="B45" s="70" t="str">
        <f>IF('Identitas Siswa'!D44=0,"",'Identitas Siswa'!D44)</f>
        <v/>
      </c>
      <c r="C45" s="169" t="s">
        <v>380</v>
      </c>
    </row>
    <row r="46" spans="1:3" hidden="1" x14ac:dyDescent="0.25">
      <c r="A46" s="71">
        <f>'Identitas Siswa'!A45</f>
        <v>38</v>
      </c>
      <c r="B46" s="70" t="str">
        <f>IF('Identitas Siswa'!D45=0,"",'Identitas Siswa'!D45)</f>
        <v/>
      </c>
      <c r="C46" s="169" t="s">
        <v>380</v>
      </c>
    </row>
    <row r="47" spans="1:3" hidden="1" x14ac:dyDescent="0.25">
      <c r="A47" s="71">
        <f>'Identitas Siswa'!A46</f>
        <v>39</v>
      </c>
      <c r="B47" s="70" t="str">
        <f>IF('Identitas Siswa'!D46=0,"",'Identitas Siswa'!D46)</f>
        <v/>
      </c>
      <c r="C47" s="169" t="s">
        <v>380</v>
      </c>
    </row>
    <row r="48" spans="1:3" hidden="1" x14ac:dyDescent="0.25">
      <c r="A48" s="71">
        <f>'Identitas Siswa'!A47</f>
        <v>40</v>
      </c>
      <c r="B48" s="70" t="str">
        <f>IF('Identitas Siswa'!D47=0,"",'Identitas Siswa'!D47)</f>
        <v/>
      </c>
      <c r="C48" s="169" t="s">
        <v>380</v>
      </c>
    </row>
    <row r="49" spans="1:3" hidden="1" x14ac:dyDescent="0.25">
      <c r="A49" s="71">
        <f>'Identitas Siswa'!A48</f>
        <v>41</v>
      </c>
      <c r="B49" s="70" t="str">
        <f>IF('Identitas Siswa'!D48=0,"",'Identitas Siswa'!D48)</f>
        <v/>
      </c>
      <c r="C49" s="169" t="s">
        <v>380</v>
      </c>
    </row>
    <row r="50" spans="1:3" hidden="1" x14ac:dyDescent="0.25">
      <c r="A50" s="71">
        <f>'Identitas Siswa'!A49</f>
        <v>42</v>
      </c>
      <c r="B50" s="70" t="str">
        <f>IF('Identitas Siswa'!D49=0,"",'Identitas Siswa'!D49)</f>
        <v/>
      </c>
      <c r="C50" s="169" t="s">
        <v>380</v>
      </c>
    </row>
    <row r="51" spans="1:3" hidden="1" x14ac:dyDescent="0.25">
      <c r="A51" s="71">
        <f>'Identitas Siswa'!A50</f>
        <v>43</v>
      </c>
      <c r="B51" s="70" t="str">
        <f>IF('Identitas Siswa'!D50=0,"",'Identitas Siswa'!D50)</f>
        <v/>
      </c>
      <c r="C51" s="169" t="s">
        <v>380</v>
      </c>
    </row>
    <row r="52" spans="1:3" hidden="1" x14ac:dyDescent="0.25">
      <c r="A52" s="71">
        <f>'Identitas Siswa'!A51</f>
        <v>44</v>
      </c>
      <c r="B52" s="70" t="str">
        <f>IF('Identitas Siswa'!D51=0,"",'Identitas Siswa'!D51)</f>
        <v/>
      </c>
      <c r="C52" s="169" t="s">
        <v>380</v>
      </c>
    </row>
    <row r="53" spans="1:3" hidden="1" x14ac:dyDescent="0.25">
      <c r="A53" s="71">
        <f>'Identitas Siswa'!A52</f>
        <v>45</v>
      </c>
      <c r="B53" s="70" t="str">
        <f>IF('Identitas Siswa'!D52=0,"",'Identitas Siswa'!D52)</f>
        <v/>
      </c>
      <c r="C53" s="169" t="s">
        <v>380</v>
      </c>
    </row>
    <row r="54" spans="1:3" hidden="1" x14ac:dyDescent="0.25">
      <c r="A54" s="71">
        <f>'Identitas Siswa'!A53</f>
        <v>46</v>
      </c>
      <c r="B54" s="70" t="str">
        <f>IF('Identitas Siswa'!D53=0,"",'Identitas Siswa'!D53)</f>
        <v/>
      </c>
      <c r="C54" s="169" t="s">
        <v>380</v>
      </c>
    </row>
    <row r="55" spans="1:3" hidden="1" x14ac:dyDescent="0.25">
      <c r="A55" s="71">
        <f>'Identitas Siswa'!A54</f>
        <v>47</v>
      </c>
      <c r="B55" s="70" t="str">
        <f>IF('Identitas Siswa'!D54=0,"",'Identitas Siswa'!D54)</f>
        <v/>
      </c>
      <c r="C55" s="169" t="s">
        <v>380</v>
      </c>
    </row>
    <row r="56" spans="1:3" hidden="1" x14ac:dyDescent="0.25">
      <c r="A56" s="71">
        <f>'Identitas Siswa'!A55</f>
        <v>48</v>
      </c>
      <c r="B56" s="70" t="str">
        <f>IF('Identitas Siswa'!D55=0,"",'Identitas Siswa'!D55)</f>
        <v/>
      </c>
      <c r="C56" s="169" t="s">
        <v>380</v>
      </c>
    </row>
    <row r="57" spans="1:3" hidden="1" x14ac:dyDescent="0.25">
      <c r="A57" s="71">
        <f>'Identitas Siswa'!A56</f>
        <v>49</v>
      </c>
      <c r="B57" s="70" t="str">
        <f>IF('Identitas Siswa'!D56=0,"",'Identitas Siswa'!D56)</f>
        <v/>
      </c>
      <c r="C57" s="169" t="s">
        <v>380</v>
      </c>
    </row>
    <row r="58" spans="1:3" hidden="1" x14ac:dyDescent="0.25">
      <c r="A58" s="71">
        <f>'Identitas Siswa'!A57</f>
        <v>50</v>
      </c>
      <c r="B58" s="70" t="str">
        <f>IF('Identitas Siswa'!D57=0,"",'Identitas Siswa'!D57)</f>
        <v/>
      </c>
      <c r="C58" s="169" t="s">
        <v>380</v>
      </c>
    </row>
    <row r="59" spans="1:3" hidden="1" x14ac:dyDescent="0.25">
      <c r="A59" s="71">
        <f>'Identitas Siswa'!A58</f>
        <v>51</v>
      </c>
      <c r="B59" s="70" t="str">
        <f>IF('Identitas Siswa'!D58=0,"",'Identitas Siswa'!D58)</f>
        <v/>
      </c>
      <c r="C59" s="169" t="s">
        <v>380</v>
      </c>
    </row>
    <row r="60" spans="1:3" hidden="1" x14ac:dyDescent="0.25">
      <c r="A60" s="71">
        <f>'Identitas Siswa'!A59</f>
        <v>52</v>
      </c>
      <c r="B60" s="70" t="str">
        <f>IF('Identitas Siswa'!D59=0,"",'Identitas Siswa'!D59)</f>
        <v/>
      </c>
      <c r="C60" s="169" t="s">
        <v>380</v>
      </c>
    </row>
    <row r="61" spans="1:3" hidden="1" x14ac:dyDescent="0.25">
      <c r="A61" s="71">
        <f>'Identitas Siswa'!A60</f>
        <v>53</v>
      </c>
      <c r="B61" s="70" t="str">
        <f>IF('Identitas Siswa'!D60=0,"",'Identitas Siswa'!D60)</f>
        <v/>
      </c>
      <c r="C61" s="169" t="s">
        <v>380</v>
      </c>
    </row>
    <row r="62" spans="1:3" hidden="1" x14ac:dyDescent="0.25">
      <c r="A62" s="71">
        <f>'Identitas Siswa'!A61</f>
        <v>54</v>
      </c>
      <c r="B62" s="70" t="str">
        <f>IF('Identitas Siswa'!D61=0,"",'Identitas Siswa'!D61)</f>
        <v/>
      </c>
      <c r="C62" s="169" t="s">
        <v>380</v>
      </c>
    </row>
    <row r="63" spans="1:3" hidden="1" x14ac:dyDescent="0.25">
      <c r="A63" s="71">
        <f>'Identitas Siswa'!A62</f>
        <v>55</v>
      </c>
      <c r="B63" s="70" t="str">
        <f>IF('Identitas Siswa'!D62=0,"",'Identitas Siswa'!D62)</f>
        <v/>
      </c>
      <c r="C63" s="169" t="s">
        <v>380</v>
      </c>
    </row>
    <row r="64" spans="1:3" hidden="1" x14ac:dyDescent="0.25">
      <c r="A64" s="71">
        <f>'Identitas Siswa'!A63</f>
        <v>56</v>
      </c>
      <c r="B64" s="70" t="str">
        <f>IF('Identitas Siswa'!D63=0,"",'Identitas Siswa'!D63)</f>
        <v/>
      </c>
      <c r="C64" s="169" t="s">
        <v>380</v>
      </c>
    </row>
    <row r="65" spans="1:3" hidden="1" x14ac:dyDescent="0.25">
      <c r="A65" s="71">
        <f>'Identitas Siswa'!A64</f>
        <v>57</v>
      </c>
      <c r="B65" s="70" t="str">
        <f>IF('Identitas Siswa'!D64=0,"",'Identitas Siswa'!D64)</f>
        <v/>
      </c>
      <c r="C65" s="169" t="s">
        <v>380</v>
      </c>
    </row>
    <row r="66" spans="1:3" hidden="1" x14ac:dyDescent="0.25">
      <c r="A66" s="71">
        <f>'Identitas Siswa'!A65</f>
        <v>58</v>
      </c>
      <c r="B66" s="70" t="str">
        <f>IF('Identitas Siswa'!D65=0,"",'Identitas Siswa'!D65)</f>
        <v/>
      </c>
      <c r="C66" s="169" t="s">
        <v>380</v>
      </c>
    </row>
    <row r="67" spans="1:3" hidden="1" x14ac:dyDescent="0.25">
      <c r="A67" s="71">
        <f>'Identitas Siswa'!A66</f>
        <v>59</v>
      </c>
      <c r="B67" s="70" t="str">
        <f>IF('Identitas Siswa'!D66=0,"",'Identitas Siswa'!D66)</f>
        <v/>
      </c>
      <c r="C67" s="169" t="s">
        <v>380</v>
      </c>
    </row>
    <row r="68" spans="1:3" ht="15.75" hidden="1" thickBot="1" x14ac:dyDescent="0.3">
      <c r="A68" s="101">
        <f>'Identitas Siswa'!A67</f>
        <v>60</v>
      </c>
      <c r="B68" s="102" t="str">
        <f>IF('Identitas Siswa'!D67=0,"",'Identitas Siswa'!D67)</f>
        <v/>
      </c>
      <c r="C68" s="175" t="s">
        <v>380</v>
      </c>
    </row>
    <row r="69" spans="1:3" s="15" customFormat="1" x14ac:dyDescent="0.25">
      <c r="A69" s="103"/>
      <c r="B69" s="41"/>
      <c r="C69" s="41"/>
    </row>
  </sheetData>
  <sheetProtection sheet="1" objects="1" scenarios="1"/>
  <dataValidations count="1">
    <dataValidation type="list" allowBlank="1" showInputMessage="1" showErrorMessage="1" sqref="C9:C68" xr:uid="{691B52A4-B94F-4727-8CCC-B39074D31651}">
      <formula1>",Ya,Tidak"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427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171450</xdr:rowOff>
              </from>
              <to>
                <xdr:col>2</xdr:col>
                <xdr:colOff>47625</xdr:colOff>
                <xdr:row>5</xdr:row>
                <xdr:rowOff>85725</xdr:rowOff>
              </to>
            </anchor>
          </controlPr>
        </control>
      </mc:Choice>
      <mc:Fallback>
        <control shapeId="542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4</vt:i4>
      </vt:variant>
    </vt:vector>
  </HeadingPairs>
  <TitlesOfParts>
    <vt:vector size="33" baseType="lpstr">
      <vt:lpstr>MENU</vt:lpstr>
      <vt:lpstr>Profil Sekolah</vt:lpstr>
      <vt:lpstr>Identitas Siswa</vt:lpstr>
      <vt:lpstr>Piagam</vt:lpstr>
      <vt:lpstr>Rapor</vt:lpstr>
      <vt:lpstr>Sampul</vt:lpstr>
      <vt:lpstr>REKAP</vt:lpstr>
      <vt:lpstr>MAPEL &amp; BOBOT</vt:lpstr>
      <vt:lpstr>TP</vt:lpstr>
      <vt:lpstr>AGAMA</vt:lpstr>
      <vt:lpstr>PANCASILA</vt:lpstr>
      <vt:lpstr>INDONESIA</vt:lpstr>
      <vt:lpstr>MATEMATIKA</vt:lpstr>
      <vt:lpstr>IPAS</vt:lpstr>
      <vt:lpstr>MUSIK</vt:lpstr>
      <vt:lpstr>TARI</vt:lpstr>
      <vt:lpstr>RUPA</vt:lpstr>
      <vt:lpstr>TEATER</vt:lpstr>
      <vt:lpstr>PJOK</vt:lpstr>
      <vt:lpstr>INGGRIS</vt:lpstr>
      <vt:lpstr>MULOK1</vt:lpstr>
      <vt:lpstr>MULOK2</vt:lpstr>
      <vt:lpstr>MULOK3</vt:lpstr>
      <vt:lpstr>MULOK4</vt:lpstr>
      <vt:lpstr>MULOK5</vt:lpstr>
      <vt:lpstr>Ekstrakurikuler</vt:lpstr>
      <vt:lpstr>Catatan Guru</vt:lpstr>
      <vt:lpstr>Absensi</vt:lpstr>
      <vt:lpstr>NaikTidak</vt:lpstr>
      <vt:lpstr>Piagam!Print_Area</vt:lpstr>
      <vt:lpstr>Rapor!Print_Area</vt:lpstr>
      <vt:lpstr>REKAP!Print_Area</vt:lpstr>
      <vt:lpstr>Sampul!Print_Area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Adnan Abdillah</dc:creator>
  <cp:lastModifiedBy>Adnan Abdillah</cp:lastModifiedBy>
  <cp:lastPrinted>2025-06-23T08:45:32Z</cp:lastPrinted>
  <dcterms:created xsi:type="dcterms:W3CDTF">2025-06-21T03:48:29Z</dcterms:created>
  <dcterms:modified xsi:type="dcterms:W3CDTF">2025-06-23T09:56:41Z</dcterms:modified>
</cp:coreProperties>
</file>